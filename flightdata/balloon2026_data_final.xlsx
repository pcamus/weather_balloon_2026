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styles.xml" ContentType="application/vnd.openxmlformats-officedocument.spreadsheetml.styles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colors5.xml" ContentType="application/vnd.ms-office.chartcolorstyle+xml"/>
  <Override PartName="/xl/charts/style4.xml" ContentType="application/vnd.ms-office.chartstyle+xml"/>
  <Override PartName="/xl/charts/style5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Flight data" sheetId="1" state="visible" r:id="rId3"/>
    <sheet name="Altitude &amp; p f(t)" sheetId="2" state="visible" r:id="rId4"/>
    <sheet name="Altitude f(p)" sheetId="3" state="visible" r:id="rId5"/>
    <sheet name="Temperature up" sheetId="4" state="visible" r:id="rId6"/>
    <sheet name="Temperature down" sheetId="5" state="visible" r:id="rId7"/>
    <sheet name="Alt &amp; speed" sheetId="6" state="visible" r:id="rId8"/>
    <sheet name="Battery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<sst xmlns="http://schemas.openxmlformats.org/spreadsheetml/2006/main" count="15" uniqueCount="15">
  <si>
    <t xml:space="preserve">Time (s)</t>
  </si>
  <si>
    <t xml:space="preserve">T_out (°C)</t>
  </si>
  <si>
    <t xml:space="preserve">T_in (°C)</t>
  </si>
  <si>
    <t xml:space="preserve">Abs pressure
 (hPa)</t>
  </si>
  <si>
    <t xml:space="preserve">Battery
voltage (V)</t>
  </si>
  <si>
    <t xml:space="preserve">Battery
Current (mA)</t>
  </si>
  <si>
    <t xml:space="preserve">Altitude (m)</t>
  </si>
  <si>
    <t xml:space="preserve">Speed (m/s)</t>
  </si>
  <si>
    <t xml:space="preserve">Speed (km/h)</t>
  </si>
  <si>
    <t xml:space="preserve">Computed
Altitude (1)</t>
  </si>
  <si>
    <t xml:space="preserve">Computed
Altitude (2)</t>
  </si>
  <si>
    <t xml:space="preserve">Computed
Altitude (3)</t>
  </si>
  <si>
    <t xml:space="preserve">Batt linear
Discharge</t>
  </si>
  <si>
    <t xml:space="preserve">Energy
mW.h</t>
  </si>
  <si>
    <t xml:space="preserve">Energy (Wh)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</si>
</sst>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"/>
    <numFmt numFmtId="166" formatCode="0.00"/>
    <numFmt numFmtId="167" formatCode="hh:mm:ss"/>
    <numFmt numFmtId="168" formatCode="0"/>
    <numFmt numFmtId="169" formatCode="[hh]:mm:ss"/>
    <numFmt numFmtId="170" formatCode="0.000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0"/>
    </font>
    <font>
      <sz val="13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Calibri"/>
      <family val="0"/>
    </font>
    <font>
      <sz val="12"/>
      <color rgb="FF00000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B3B3B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C99E0"/>
      <rgbColor rgb="FFC0C0C0"/>
      <rgbColor rgb="FF808080"/>
      <rgbColor rgb="FF9999FF"/>
      <rgbColor rgb="FF993366"/>
      <rgbColor rgb="FFFFFFCC"/>
      <rgbColor rgb="FFCCFFFF"/>
      <rgbColor rgb="FF530260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DE9A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B3B3B3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openxmlformats.org/officeDocument/2006/relationships/chartUserShapes" Target="../drawings/drawing4.xml"/><Relationship Id="rId2" Type="http://schemas.microsoft.com/office/2011/relationships/chartStyle" Target="style2.xml"/><Relationship Id="rId3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openxmlformats.org/officeDocument/2006/relationships/chartUserShapes" Target="../drawings/drawing6.xml"/><Relationship Id="rId2" Type="http://schemas.microsoft.com/office/2011/relationships/chartStyle" Target="style3.xml"/><Relationship Id="rId3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openxmlformats.org/officeDocument/2006/relationships/chartUserShapes" Target="../drawings/drawing8.xml"/><Relationship Id="rId2" Type="http://schemas.microsoft.com/office/2011/relationships/chartStyle" Target="style4.xml"/><Relationship Id="rId3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Absolute pressure in hPa and altitude plot vs flight time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IRM balloon flight 27/9/2026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994985374007522"/>
          <c:y val="0.122729029764206"/>
          <c:w val="0.784663602173005"/>
          <c:h val="0.717111197010695"/>
        </c:manualLayout>
      </c:layout>
      <c:scatterChart>
        <c:scatterStyle val="line"/>
        <c:varyColors val="0"/>
        <c:ser>
          <c:idx val="0"/>
          <c:order val="0"/>
          <c:tx>
            <c:strRef>
              <c:f>altitude</c:f>
              <c:strCache>
                <c:ptCount val="1"/>
                <c:pt idx="0">
                  <c:v>altitude</c:v>
                </c:pt>
              </c:strCache>
            </c:strRef>
          </c:tx>
          <c:spPr>
            <a:solidFill>
              <a:srgbClr val="FF420E"/>
            </a:solidFill>
            <a:ln w="144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44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'Flight data'!$A$2:$A$443</c:f>
              <c:numCache>
                <c:formatCode>hh:mm:ss</c:formatCode>
                <c:ptCount val="442"/>
                <c:pt idx="0">
                  <c:v>0.592361111111111</c:v>
                </c:pt>
                <c:pt idx="1">
                  <c:v>0.592708333333333</c:v>
                </c:pt>
                <c:pt idx="2">
                  <c:v>0.593055555555556</c:v>
                </c:pt>
                <c:pt idx="3">
                  <c:v>0.593402777777778</c:v>
                </c:pt>
                <c:pt idx="4">
                  <c:v>0.59375</c:v>
                </c:pt>
                <c:pt idx="5">
                  <c:v>0.594097222222222</c:v>
                </c:pt>
                <c:pt idx="6">
                  <c:v>0.594444444444444</c:v>
                </c:pt>
                <c:pt idx="7">
                  <c:v>0.594791666666667</c:v>
                </c:pt>
                <c:pt idx="8">
                  <c:v>0.595138888888889</c:v>
                </c:pt>
                <c:pt idx="9">
                  <c:v>0.595486111111111</c:v>
                </c:pt>
                <c:pt idx="10">
                  <c:v>0.595833333333333</c:v>
                </c:pt>
                <c:pt idx="11">
                  <c:v>0.596180555555556</c:v>
                </c:pt>
                <c:pt idx="12">
                  <c:v>0.596527777777778</c:v>
                </c:pt>
                <c:pt idx="13">
                  <c:v>0.596875</c:v>
                </c:pt>
                <c:pt idx="14">
                  <c:v>0.597222222222222</c:v>
                </c:pt>
                <c:pt idx="15">
                  <c:v>0.597569444444445</c:v>
                </c:pt>
                <c:pt idx="16">
                  <c:v>0.597916666666667</c:v>
                </c:pt>
                <c:pt idx="17">
                  <c:v>0.598263888888889</c:v>
                </c:pt>
                <c:pt idx="18">
                  <c:v>0.598611111111111</c:v>
                </c:pt>
                <c:pt idx="19">
                  <c:v>0.598958333333333</c:v>
                </c:pt>
                <c:pt idx="20">
                  <c:v>0.599305555555556</c:v>
                </c:pt>
                <c:pt idx="21">
                  <c:v>0.599652777777778</c:v>
                </c:pt>
                <c:pt idx="22">
                  <c:v>0.6</c:v>
                </c:pt>
                <c:pt idx="23">
                  <c:v>0.600347222222222</c:v>
                </c:pt>
                <c:pt idx="24">
                  <c:v>0.600694444444444</c:v>
                </c:pt>
                <c:pt idx="25">
                  <c:v>0.601041666666667</c:v>
                </c:pt>
                <c:pt idx="26">
                  <c:v>0.601388888888889</c:v>
                </c:pt>
                <c:pt idx="27">
                  <c:v>0.601736111111111</c:v>
                </c:pt>
                <c:pt idx="28">
                  <c:v>0.602083333333333</c:v>
                </c:pt>
                <c:pt idx="29">
                  <c:v>0.602430555555556</c:v>
                </c:pt>
                <c:pt idx="30">
                  <c:v>0.602777777777778</c:v>
                </c:pt>
                <c:pt idx="31">
                  <c:v>0.603125</c:v>
                </c:pt>
                <c:pt idx="32">
                  <c:v>0.603472222222222</c:v>
                </c:pt>
                <c:pt idx="33">
                  <c:v>0.603819444444445</c:v>
                </c:pt>
                <c:pt idx="34">
                  <c:v>0.604166666666667</c:v>
                </c:pt>
                <c:pt idx="35">
                  <c:v>0.604513888888889</c:v>
                </c:pt>
                <c:pt idx="36">
                  <c:v>0.604861111111111</c:v>
                </c:pt>
                <c:pt idx="37">
                  <c:v>0.605208333333333</c:v>
                </c:pt>
                <c:pt idx="38">
                  <c:v>0.605555555555556</c:v>
                </c:pt>
                <c:pt idx="39">
                  <c:v>0.605902777777778</c:v>
                </c:pt>
                <c:pt idx="40">
                  <c:v>0.60625</c:v>
                </c:pt>
                <c:pt idx="41">
                  <c:v>0.606597222222222</c:v>
                </c:pt>
                <c:pt idx="42">
                  <c:v>0.606944444444444</c:v>
                </c:pt>
                <c:pt idx="43">
                  <c:v>0.607291666666667</c:v>
                </c:pt>
                <c:pt idx="44">
                  <c:v>0.607638888888889</c:v>
                </c:pt>
                <c:pt idx="45">
                  <c:v>0.607986111111111</c:v>
                </c:pt>
                <c:pt idx="46">
                  <c:v>0.608333333333333</c:v>
                </c:pt>
                <c:pt idx="47">
                  <c:v>0.608680555555556</c:v>
                </c:pt>
                <c:pt idx="48">
                  <c:v>0.609027777777778</c:v>
                </c:pt>
                <c:pt idx="49">
                  <c:v>0.609375</c:v>
                </c:pt>
                <c:pt idx="50">
                  <c:v>0.609722222222222</c:v>
                </c:pt>
                <c:pt idx="51">
                  <c:v>0.610069444444444</c:v>
                </c:pt>
                <c:pt idx="52">
                  <c:v>0.610416666666667</c:v>
                </c:pt>
                <c:pt idx="53">
                  <c:v>0.610763888888889</c:v>
                </c:pt>
                <c:pt idx="54">
                  <c:v>0.611111111111111</c:v>
                </c:pt>
                <c:pt idx="55">
                  <c:v>0.611458333333333</c:v>
                </c:pt>
                <c:pt idx="56">
                  <c:v>0.611805555555556</c:v>
                </c:pt>
                <c:pt idx="57">
                  <c:v>0.612152777777778</c:v>
                </c:pt>
                <c:pt idx="58">
                  <c:v>0.6125</c:v>
                </c:pt>
                <c:pt idx="59">
                  <c:v>0.612847222222222</c:v>
                </c:pt>
                <c:pt idx="60">
                  <c:v>0.613194444444445</c:v>
                </c:pt>
                <c:pt idx="61">
                  <c:v>0.613541666666667</c:v>
                </c:pt>
                <c:pt idx="62">
                  <c:v>0.613888888888889</c:v>
                </c:pt>
                <c:pt idx="63">
                  <c:v>0.614236111111111</c:v>
                </c:pt>
                <c:pt idx="64">
                  <c:v>0.614583333333333</c:v>
                </c:pt>
                <c:pt idx="65">
                  <c:v>0.614930555555556</c:v>
                </c:pt>
                <c:pt idx="66">
                  <c:v>0.615277777777778</c:v>
                </c:pt>
                <c:pt idx="67">
                  <c:v>0.615625</c:v>
                </c:pt>
                <c:pt idx="68">
                  <c:v>0.615972222222222</c:v>
                </c:pt>
                <c:pt idx="69">
                  <c:v>0.616319444444444</c:v>
                </c:pt>
                <c:pt idx="70">
                  <c:v>0.616666666666667</c:v>
                </c:pt>
                <c:pt idx="71">
                  <c:v>0.617013888888889</c:v>
                </c:pt>
                <c:pt idx="72">
                  <c:v>0.617361111111111</c:v>
                </c:pt>
                <c:pt idx="73">
                  <c:v>0.617708333333333</c:v>
                </c:pt>
                <c:pt idx="74">
                  <c:v>0.618055555555556</c:v>
                </c:pt>
                <c:pt idx="75">
                  <c:v>0.618402777777778</c:v>
                </c:pt>
                <c:pt idx="76">
                  <c:v>0.61875</c:v>
                </c:pt>
                <c:pt idx="77">
                  <c:v>0.619097222222222</c:v>
                </c:pt>
                <c:pt idx="78">
                  <c:v>0.619444444444445</c:v>
                </c:pt>
                <c:pt idx="79">
                  <c:v>0.619791666666667</c:v>
                </c:pt>
                <c:pt idx="80">
                  <c:v>0.620138888888889</c:v>
                </c:pt>
                <c:pt idx="81">
                  <c:v>0.620486111111111</c:v>
                </c:pt>
                <c:pt idx="82">
                  <c:v>0.620833333333333</c:v>
                </c:pt>
                <c:pt idx="83">
                  <c:v>0.621180555555556</c:v>
                </c:pt>
                <c:pt idx="84">
                  <c:v>0.621527777777778</c:v>
                </c:pt>
                <c:pt idx="85">
                  <c:v>0.621875</c:v>
                </c:pt>
                <c:pt idx="86">
                  <c:v>0.622222222222222</c:v>
                </c:pt>
                <c:pt idx="87">
                  <c:v>0.622569444444444</c:v>
                </c:pt>
                <c:pt idx="88">
                  <c:v>0.622916666666667</c:v>
                </c:pt>
                <c:pt idx="89">
                  <c:v>0.623263888888889</c:v>
                </c:pt>
                <c:pt idx="90">
                  <c:v>0.623611111111111</c:v>
                </c:pt>
                <c:pt idx="91">
                  <c:v>0.623958333333333</c:v>
                </c:pt>
                <c:pt idx="92">
                  <c:v>0.624305555555556</c:v>
                </c:pt>
                <c:pt idx="93">
                  <c:v>0.624652777777778</c:v>
                </c:pt>
                <c:pt idx="94">
                  <c:v>0.625</c:v>
                </c:pt>
                <c:pt idx="95">
                  <c:v>0.625347222222222</c:v>
                </c:pt>
                <c:pt idx="96">
                  <c:v>0.625694444444444</c:v>
                </c:pt>
                <c:pt idx="97">
                  <c:v>0.626041666666667</c:v>
                </c:pt>
                <c:pt idx="98">
                  <c:v>0.626388888888889</c:v>
                </c:pt>
                <c:pt idx="99">
                  <c:v>0.626736111111111</c:v>
                </c:pt>
                <c:pt idx="100">
                  <c:v>0.627083333333333</c:v>
                </c:pt>
                <c:pt idx="101">
                  <c:v>0.627430555555556</c:v>
                </c:pt>
                <c:pt idx="102">
                  <c:v>0.627777777777778</c:v>
                </c:pt>
                <c:pt idx="103">
                  <c:v>0.628125</c:v>
                </c:pt>
                <c:pt idx="104">
                  <c:v>0.628472222222222</c:v>
                </c:pt>
                <c:pt idx="105">
                  <c:v>0.628819444444445</c:v>
                </c:pt>
                <c:pt idx="106">
                  <c:v>0.629166666666667</c:v>
                </c:pt>
                <c:pt idx="107">
                  <c:v>0.629513888888889</c:v>
                </c:pt>
                <c:pt idx="108">
                  <c:v>0.629861111111111</c:v>
                </c:pt>
                <c:pt idx="109">
                  <c:v>0.630208333333333</c:v>
                </c:pt>
                <c:pt idx="110">
                  <c:v>0.630555555555556</c:v>
                </c:pt>
                <c:pt idx="111">
                  <c:v>0.630902777777778</c:v>
                </c:pt>
                <c:pt idx="112">
                  <c:v>0.63125</c:v>
                </c:pt>
                <c:pt idx="113">
                  <c:v>0.631597222222222</c:v>
                </c:pt>
                <c:pt idx="114">
                  <c:v>0.631944444444444</c:v>
                </c:pt>
                <c:pt idx="115">
                  <c:v>0.632291666666667</c:v>
                </c:pt>
                <c:pt idx="116">
                  <c:v>0.632638888888889</c:v>
                </c:pt>
                <c:pt idx="117">
                  <c:v>0.632986111111111</c:v>
                </c:pt>
                <c:pt idx="118">
                  <c:v>0.633333333333333</c:v>
                </c:pt>
                <c:pt idx="119">
                  <c:v>0.633680555555556</c:v>
                </c:pt>
                <c:pt idx="120">
                  <c:v>0.634027777777778</c:v>
                </c:pt>
                <c:pt idx="121">
                  <c:v>0.634375</c:v>
                </c:pt>
                <c:pt idx="122">
                  <c:v>0.634722222222222</c:v>
                </c:pt>
                <c:pt idx="123">
                  <c:v>0.635069444444445</c:v>
                </c:pt>
                <c:pt idx="124">
                  <c:v>0.635416666666667</c:v>
                </c:pt>
                <c:pt idx="125">
                  <c:v>0.635763888888889</c:v>
                </c:pt>
                <c:pt idx="126">
                  <c:v>0.636111111111111</c:v>
                </c:pt>
                <c:pt idx="127">
                  <c:v>0.636458333333333</c:v>
                </c:pt>
                <c:pt idx="128">
                  <c:v>0.636805555555556</c:v>
                </c:pt>
                <c:pt idx="129">
                  <c:v>0.637152777777778</c:v>
                </c:pt>
                <c:pt idx="130">
                  <c:v>0.6375</c:v>
                </c:pt>
                <c:pt idx="131">
                  <c:v>0.637847222222222</c:v>
                </c:pt>
                <c:pt idx="132">
                  <c:v>0.638194444444444</c:v>
                </c:pt>
                <c:pt idx="133">
                  <c:v>0.638541666666667</c:v>
                </c:pt>
                <c:pt idx="134">
                  <c:v>0.638888888888889</c:v>
                </c:pt>
                <c:pt idx="135">
                  <c:v>0.639236111111111</c:v>
                </c:pt>
                <c:pt idx="136">
                  <c:v>0.639583333333333</c:v>
                </c:pt>
                <c:pt idx="137">
                  <c:v>0.639930555555556</c:v>
                </c:pt>
                <c:pt idx="138">
                  <c:v>0.640277777777778</c:v>
                </c:pt>
                <c:pt idx="139">
                  <c:v>0.640625</c:v>
                </c:pt>
                <c:pt idx="140">
                  <c:v>0.640972222222222</c:v>
                </c:pt>
                <c:pt idx="141">
                  <c:v>0.641319444444444</c:v>
                </c:pt>
                <c:pt idx="142">
                  <c:v>0.641666666666667</c:v>
                </c:pt>
                <c:pt idx="143">
                  <c:v>0.642013888888889</c:v>
                </c:pt>
                <c:pt idx="144">
                  <c:v>0.642361111111111</c:v>
                </c:pt>
                <c:pt idx="145">
                  <c:v>0.642708333333333</c:v>
                </c:pt>
                <c:pt idx="146">
                  <c:v>0.643055555555556</c:v>
                </c:pt>
                <c:pt idx="147">
                  <c:v>0.643402777777778</c:v>
                </c:pt>
                <c:pt idx="148">
                  <c:v>0.64375</c:v>
                </c:pt>
                <c:pt idx="149">
                  <c:v>0.644097222222222</c:v>
                </c:pt>
                <c:pt idx="150">
                  <c:v>0.644444444444445</c:v>
                </c:pt>
                <c:pt idx="151">
                  <c:v>0.644791666666667</c:v>
                </c:pt>
                <c:pt idx="152">
                  <c:v>0.645138888888889</c:v>
                </c:pt>
                <c:pt idx="153">
                  <c:v>0.645486111111111</c:v>
                </c:pt>
                <c:pt idx="154">
                  <c:v>0.645833333333333</c:v>
                </c:pt>
                <c:pt idx="155">
                  <c:v>0.646180555555556</c:v>
                </c:pt>
                <c:pt idx="156">
                  <c:v>0.646527777777778</c:v>
                </c:pt>
                <c:pt idx="157">
                  <c:v>0.646875</c:v>
                </c:pt>
                <c:pt idx="158">
                  <c:v>0.647222222222222</c:v>
                </c:pt>
                <c:pt idx="159">
                  <c:v>0.647569444444444</c:v>
                </c:pt>
                <c:pt idx="160">
                  <c:v>0.647916666666667</c:v>
                </c:pt>
                <c:pt idx="161">
                  <c:v>0.648263888888889</c:v>
                </c:pt>
                <c:pt idx="162">
                  <c:v>0.648611111111111</c:v>
                </c:pt>
                <c:pt idx="163">
                  <c:v>0.648958333333333</c:v>
                </c:pt>
                <c:pt idx="164">
                  <c:v>0.649305555555556</c:v>
                </c:pt>
                <c:pt idx="165">
                  <c:v>0.649652777777778</c:v>
                </c:pt>
                <c:pt idx="166">
                  <c:v>0.65</c:v>
                </c:pt>
                <c:pt idx="167">
                  <c:v>0.650347222222222</c:v>
                </c:pt>
                <c:pt idx="168">
                  <c:v>0.650694444444445</c:v>
                </c:pt>
                <c:pt idx="169">
                  <c:v>0.651041666666667</c:v>
                </c:pt>
                <c:pt idx="170">
                  <c:v>0.651388888888889</c:v>
                </c:pt>
                <c:pt idx="171">
                  <c:v>0.651736111111111</c:v>
                </c:pt>
                <c:pt idx="172">
                  <c:v>0.652083333333333</c:v>
                </c:pt>
                <c:pt idx="173">
                  <c:v>0.652430555555556</c:v>
                </c:pt>
                <c:pt idx="174">
                  <c:v>0.652777777777778</c:v>
                </c:pt>
                <c:pt idx="175">
                  <c:v>0.653125</c:v>
                </c:pt>
                <c:pt idx="176">
                  <c:v>0.653472222222222</c:v>
                </c:pt>
                <c:pt idx="177">
                  <c:v>0.653819444444444</c:v>
                </c:pt>
                <c:pt idx="178">
                  <c:v>0.654166666666667</c:v>
                </c:pt>
                <c:pt idx="179">
                  <c:v>0.654513888888889</c:v>
                </c:pt>
                <c:pt idx="180">
                  <c:v>0.654861111111111</c:v>
                </c:pt>
                <c:pt idx="181">
                  <c:v>0.655208333333333</c:v>
                </c:pt>
                <c:pt idx="182">
                  <c:v>0.655555555555556</c:v>
                </c:pt>
                <c:pt idx="183">
                  <c:v>0.655902777777778</c:v>
                </c:pt>
                <c:pt idx="184">
                  <c:v>0.65625</c:v>
                </c:pt>
                <c:pt idx="185">
                  <c:v>0.656597222222222</c:v>
                </c:pt>
                <c:pt idx="186">
                  <c:v>0.656944444444444</c:v>
                </c:pt>
                <c:pt idx="187">
                  <c:v>0.657291666666667</c:v>
                </c:pt>
                <c:pt idx="188">
                  <c:v>0.657638888888889</c:v>
                </c:pt>
                <c:pt idx="189">
                  <c:v>0.657986111111111</c:v>
                </c:pt>
                <c:pt idx="190">
                  <c:v>0.658333333333333</c:v>
                </c:pt>
                <c:pt idx="191">
                  <c:v>0.658680555555556</c:v>
                </c:pt>
                <c:pt idx="192">
                  <c:v>0.659027777777778</c:v>
                </c:pt>
                <c:pt idx="193">
                  <c:v>0.659375</c:v>
                </c:pt>
                <c:pt idx="194">
                  <c:v>0.659722222222222</c:v>
                </c:pt>
                <c:pt idx="195">
                  <c:v>0.660069444444445</c:v>
                </c:pt>
                <c:pt idx="196">
                  <c:v>0.660416666666667</c:v>
                </c:pt>
                <c:pt idx="197">
                  <c:v>0.660763888888889</c:v>
                </c:pt>
                <c:pt idx="198">
                  <c:v>0.661111111111111</c:v>
                </c:pt>
                <c:pt idx="199">
                  <c:v>0.661458333333333</c:v>
                </c:pt>
                <c:pt idx="200">
                  <c:v>0.661805555555556</c:v>
                </c:pt>
                <c:pt idx="201">
                  <c:v>0.662152777777778</c:v>
                </c:pt>
                <c:pt idx="202">
                  <c:v>0.6625</c:v>
                </c:pt>
                <c:pt idx="203">
                  <c:v>0.662847222222222</c:v>
                </c:pt>
                <c:pt idx="204">
                  <c:v>0.663194444444444</c:v>
                </c:pt>
                <c:pt idx="205">
                  <c:v>0.663541666666667</c:v>
                </c:pt>
                <c:pt idx="206">
                  <c:v>0.663888888888889</c:v>
                </c:pt>
                <c:pt idx="207">
                  <c:v>0.664236111111111</c:v>
                </c:pt>
                <c:pt idx="208">
                  <c:v>0.664583333333333</c:v>
                </c:pt>
                <c:pt idx="209">
                  <c:v>0.664930555555556</c:v>
                </c:pt>
                <c:pt idx="210">
                  <c:v>0.665277777777778</c:v>
                </c:pt>
                <c:pt idx="211">
                  <c:v>0.665625</c:v>
                </c:pt>
                <c:pt idx="212">
                  <c:v>0.665972222222222</c:v>
                </c:pt>
                <c:pt idx="213">
                  <c:v>0.666319444444445</c:v>
                </c:pt>
                <c:pt idx="214">
                  <c:v>0.666666666666667</c:v>
                </c:pt>
                <c:pt idx="215">
                  <c:v>0.667013888888889</c:v>
                </c:pt>
                <c:pt idx="216">
                  <c:v>0.667361111111111</c:v>
                </c:pt>
                <c:pt idx="217">
                  <c:v>0.667708333333333</c:v>
                </c:pt>
                <c:pt idx="218">
                  <c:v>0.668055555555556</c:v>
                </c:pt>
                <c:pt idx="219">
                  <c:v>0.668402777777778</c:v>
                </c:pt>
                <c:pt idx="220">
                  <c:v>0.66875</c:v>
                </c:pt>
                <c:pt idx="221">
                  <c:v>0.669097222222222</c:v>
                </c:pt>
                <c:pt idx="222">
                  <c:v>0.669444444444445</c:v>
                </c:pt>
                <c:pt idx="223">
                  <c:v>0.669791666666667</c:v>
                </c:pt>
                <c:pt idx="224">
                  <c:v>0.670138888888889</c:v>
                </c:pt>
                <c:pt idx="225">
                  <c:v>0.670486111111111</c:v>
                </c:pt>
                <c:pt idx="226">
                  <c:v>0.670833333333333</c:v>
                </c:pt>
                <c:pt idx="227">
                  <c:v>0.671180555555556</c:v>
                </c:pt>
                <c:pt idx="228">
                  <c:v>0.671527777777778</c:v>
                </c:pt>
                <c:pt idx="229">
                  <c:v>0.671875</c:v>
                </c:pt>
                <c:pt idx="230">
                  <c:v>0.672222222222222</c:v>
                </c:pt>
                <c:pt idx="231">
                  <c:v>0.672569444444444</c:v>
                </c:pt>
                <c:pt idx="232">
                  <c:v>0.672916666666667</c:v>
                </c:pt>
                <c:pt idx="233">
                  <c:v>0.673263888888889</c:v>
                </c:pt>
                <c:pt idx="234">
                  <c:v>0.673611111111111</c:v>
                </c:pt>
                <c:pt idx="235">
                  <c:v>0.673958333333333</c:v>
                </c:pt>
                <c:pt idx="236">
                  <c:v>0.674305555555556</c:v>
                </c:pt>
                <c:pt idx="237">
                  <c:v>0.674652777777778</c:v>
                </c:pt>
                <c:pt idx="238">
                  <c:v>0.675</c:v>
                </c:pt>
                <c:pt idx="239">
                  <c:v>0.675347222222222</c:v>
                </c:pt>
                <c:pt idx="240">
                  <c:v>0.675694444444445</c:v>
                </c:pt>
                <c:pt idx="241">
                  <c:v>0.676041666666667</c:v>
                </c:pt>
                <c:pt idx="242">
                  <c:v>0.676388888888889</c:v>
                </c:pt>
                <c:pt idx="243">
                  <c:v>0.676736111111111</c:v>
                </c:pt>
                <c:pt idx="244">
                  <c:v>0.677083333333333</c:v>
                </c:pt>
                <c:pt idx="245">
                  <c:v>0.677430555555556</c:v>
                </c:pt>
                <c:pt idx="246">
                  <c:v>0.677777777777778</c:v>
                </c:pt>
                <c:pt idx="247">
                  <c:v>0.678125</c:v>
                </c:pt>
                <c:pt idx="248">
                  <c:v>0.678472222222222</c:v>
                </c:pt>
                <c:pt idx="249">
                  <c:v>0.678819444444444</c:v>
                </c:pt>
                <c:pt idx="250">
                  <c:v>0.679166666666667</c:v>
                </c:pt>
                <c:pt idx="251">
                  <c:v>0.679513888888889</c:v>
                </c:pt>
                <c:pt idx="252">
                  <c:v>0.679861111111111</c:v>
                </c:pt>
                <c:pt idx="253">
                  <c:v>0.680208333333333</c:v>
                </c:pt>
                <c:pt idx="254">
                  <c:v>0.680555555555556</c:v>
                </c:pt>
                <c:pt idx="255">
                  <c:v>0.680902777777778</c:v>
                </c:pt>
                <c:pt idx="256">
                  <c:v>0.68125</c:v>
                </c:pt>
                <c:pt idx="257">
                  <c:v>0.681597222222222</c:v>
                </c:pt>
                <c:pt idx="258">
                  <c:v>0.681944444444445</c:v>
                </c:pt>
                <c:pt idx="259">
                  <c:v>0.682291666666667</c:v>
                </c:pt>
                <c:pt idx="260">
                  <c:v>0.682638888888889</c:v>
                </c:pt>
                <c:pt idx="261">
                  <c:v>0.682986111111111</c:v>
                </c:pt>
                <c:pt idx="262">
                  <c:v>0.683333333333333</c:v>
                </c:pt>
                <c:pt idx="263">
                  <c:v>0.683680555555556</c:v>
                </c:pt>
                <c:pt idx="264">
                  <c:v>0.684027777777778</c:v>
                </c:pt>
                <c:pt idx="265">
                  <c:v>0.684375</c:v>
                </c:pt>
                <c:pt idx="266">
                  <c:v>0.684722222222222</c:v>
                </c:pt>
                <c:pt idx="267">
                  <c:v>0.685069444444445</c:v>
                </c:pt>
                <c:pt idx="268">
                  <c:v>0.685416666666667</c:v>
                </c:pt>
                <c:pt idx="269">
                  <c:v>0.685763888888889</c:v>
                </c:pt>
                <c:pt idx="270">
                  <c:v>0.686111111111111</c:v>
                </c:pt>
                <c:pt idx="271">
                  <c:v>0.686458333333333</c:v>
                </c:pt>
                <c:pt idx="272">
                  <c:v>0.686805555555556</c:v>
                </c:pt>
                <c:pt idx="273">
                  <c:v>0.687152777777778</c:v>
                </c:pt>
                <c:pt idx="274">
                  <c:v>0.6875</c:v>
                </c:pt>
                <c:pt idx="275">
                  <c:v>0.687847222222222</c:v>
                </c:pt>
                <c:pt idx="276">
                  <c:v>0.688194444444444</c:v>
                </c:pt>
                <c:pt idx="277">
                  <c:v>0.688541666666667</c:v>
                </c:pt>
                <c:pt idx="278">
                  <c:v>0.688888888888889</c:v>
                </c:pt>
                <c:pt idx="279">
                  <c:v>0.689236111111111</c:v>
                </c:pt>
                <c:pt idx="280">
                  <c:v>0.689583333333333</c:v>
                </c:pt>
                <c:pt idx="281">
                  <c:v>0.689930555555556</c:v>
                </c:pt>
                <c:pt idx="282">
                  <c:v>0.690277777777778</c:v>
                </c:pt>
                <c:pt idx="283">
                  <c:v>0.690625</c:v>
                </c:pt>
                <c:pt idx="284">
                  <c:v>0.690972222222222</c:v>
                </c:pt>
                <c:pt idx="285">
                  <c:v>0.691319444444445</c:v>
                </c:pt>
                <c:pt idx="286">
                  <c:v>0.691666666666667</c:v>
                </c:pt>
                <c:pt idx="287">
                  <c:v>0.692013888888889</c:v>
                </c:pt>
                <c:pt idx="288">
                  <c:v>0.692361111111111</c:v>
                </c:pt>
                <c:pt idx="289">
                  <c:v>0.692708333333333</c:v>
                </c:pt>
                <c:pt idx="290">
                  <c:v>0.693055555555556</c:v>
                </c:pt>
                <c:pt idx="291">
                  <c:v>0.693402777777778</c:v>
                </c:pt>
                <c:pt idx="292">
                  <c:v>0.69375</c:v>
                </c:pt>
                <c:pt idx="293">
                  <c:v>0.694097222222222</c:v>
                </c:pt>
                <c:pt idx="294">
                  <c:v>0.694444444444444</c:v>
                </c:pt>
                <c:pt idx="295">
                  <c:v>0.694791666666667</c:v>
                </c:pt>
                <c:pt idx="296">
                  <c:v>0.695138888888889</c:v>
                </c:pt>
                <c:pt idx="297">
                  <c:v>0.695486111111111</c:v>
                </c:pt>
                <c:pt idx="298">
                  <c:v>0.695833333333333</c:v>
                </c:pt>
                <c:pt idx="299">
                  <c:v>0.696180555555556</c:v>
                </c:pt>
                <c:pt idx="300">
                  <c:v>0.696527777777778</c:v>
                </c:pt>
                <c:pt idx="301">
                  <c:v>0.696875</c:v>
                </c:pt>
                <c:pt idx="302">
                  <c:v>0.697222222222222</c:v>
                </c:pt>
                <c:pt idx="303">
                  <c:v>0.697569444444445</c:v>
                </c:pt>
                <c:pt idx="304">
                  <c:v>0.697916666666667</c:v>
                </c:pt>
                <c:pt idx="305">
                  <c:v>0.698263888888889</c:v>
                </c:pt>
                <c:pt idx="306">
                  <c:v>0.698611111111111</c:v>
                </c:pt>
                <c:pt idx="307">
                  <c:v>0.698958333333333</c:v>
                </c:pt>
                <c:pt idx="308">
                  <c:v>0.699305555555556</c:v>
                </c:pt>
                <c:pt idx="309">
                  <c:v>0.699652777777778</c:v>
                </c:pt>
                <c:pt idx="310">
                  <c:v>0.7</c:v>
                </c:pt>
                <c:pt idx="311">
                  <c:v>0.700347222222222</c:v>
                </c:pt>
                <c:pt idx="312">
                  <c:v>0.700694444444445</c:v>
                </c:pt>
                <c:pt idx="313">
                  <c:v>0.701041666666667</c:v>
                </c:pt>
                <c:pt idx="314">
                  <c:v>0.701388888888889</c:v>
                </c:pt>
                <c:pt idx="315">
                  <c:v>0.701736111111111</c:v>
                </c:pt>
                <c:pt idx="316">
                  <c:v>0.702083333333333</c:v>
                </c:pt>
                <c:pt idx="317">
                  <c:v>0.702430555555556</c:v>
                </c:pt>
                <c:pt idx="318">
                  <c:v>0.702777777777778</c:v>
                </c:pt>
                <c:pt idx="319">
                  <c:v>0.703125</c:v>
                </c:pt>
                <c:pt idx="320">
                  <c:v>0.703472222222222</c:v>
                </c:pt>
                <c:pt idx="321">
                  <c:v>0.703819444444444</c:v>
                </c:pt>
                <c:pt idx="322">
                  <c:v>0.704166666666667</c:v>
                </c:pt>
                <c:pt idx="323">
                  <c:v>0.704513888888889</c:v>
                </c:pt>
                <c:pt idx="324">
                  <c:v>0.704861111111111</c:v>
                </c:pt>
                <c:pt idx="325">
                  <c:v>0.705208333333333</c:v>
                </c:pt>
                <c:pt idx="326">
                  <c:v>0.705555555555556</c:v>
                </c:pt>
                <c:pt idx="327">
                  <c:v>0.705902777777778</c:v>
                </c:pt>
                <c:pt idx="328">
                  <c:v>0.70625</c:v>
                </c:pt>
                <c:pt idx="329">
                  <c:v>0.706597222222222</c:v>
                </c:pt>
                <c:pt idx="330">
                  <c:v>0.706944444444445</c:v>
                </c:pt>
                <c:pt idx="331">
                  <c:v>0.707291666666667</c:v>
                </c:pt>
                <c:pt idx="332">
                  <c:v>0.707638888888889</c:v>
                </c:pt>
                <c:pt idx="333">
                  <c:v>0.707986111111111</c:v>
                </c:pt>
                <c:pt idx="334">
                  <c:v>0.708333333333333</c:v>
                </c:pt>
                <c:pt idx="335">
                  <c:v>0.708680555555556</c:v>
                </c:pt>
                <c:pt idx="336">
                  <c:v>0.709027777777778</c:v>
                </c:pt>
                <c:pt idx="337">
                  <c:v>0.709375</c:v>
                </c:pt>
                <c:pt idx="338">
                  <c:v>0.709722222222222</c:v>
                </c:pt>
                <c:pt idx="339">
                  <c:v>0.710069444444444</c:v>
                </c:pt>
                <c:pt idx="340">
                  <c:v>0.710416666666667</c:v>
                </c:pt>
                <c:pt idx="341">
                  <c:v>0.710763888888889</c:v>
                </c:pt>
                <c:pt idx="342">
                  <c:v>0.711111111111111</c:v>
                </c:pt>
                <c:pt idx="343">
                  <c:v>0.711458333333333</c:v>
                </c:pt>
                <c:pt idx="344">
                  <c:v>0.711805555555556</c:v>
                </c:pt>
                <c:pt idx="345">
                  <c:v>0.712152777777778</c:v>
                </c:pt>
                <c:pt idx="346">
                  <c:v>0.7125</c:v>
                </c:pt>
                <c:pt idx="347">
                  <c:v>0.712847222222222</c:v>
                </c:pt>
                <c:pt idx="348">
                  <c:v>0.713194444444445</c:v>
                </c:pt>
                <c:pt idx="349">
                  <c:v>0.713541666666667</c:v>
                </c:pt>
                <c:pt idx="350">
                  <c:v>0.713888888888889</c:v>
                </c:pt>
                <c:pt idx="351">
                  <c:v>0.714236111111111</c:v>
                </c:pt>
                <c:pt idx="352">
                  <c:v>0.714583333333333</c:v>
                </c:pt>
                <c:pt idx="353">
                  <c:v>0.714930555555556</c:v>
                </c:pt>
                <c:pt idx="354">
                  <c:v>0.715277777777778</c:v>
                </c:pt>
                <c:pt idx="355">
                  <c:v>0.715625</c:v>
                </c:pt>
                <c:pt idx="356">
                  <c:v>0.715972222222222</c:v>
                </c:pt>
                <c:pt idx="357">
                  <c:v>0.716319444444445</c:v>
                </c:pt>
                <c:pt idx="358">
                  <c:v>0.716666666666667</c:v>
                </c:pt>
                <c:pt idx="359">
                  <c:v>0.717013888888889</c:v>
                </c:pt>
                <c:pt idx="360">
                  <c:v>0.717361111111111</c:v>
                </c:pt>
                <c:pt idx="361">
                  <c:v>0.717708333333333</c:v>
                </c:pt>
                <c:pt idx="362">
                  <c:v>0.718055555555556</c:v>
                </c:pt>
                <c:pt idx="363">
                  <c:v>0.718402777777778</c:v>
                </c:pt>
                <c:pt idx="364">
                  <c:v>0.71875</c:v>
                </c:pt>
                <c:pt idx="365">
                  <c:v>0.719097222222222</c:v>
                </c:pt>
                <c:pt idx="366">
                  <c:v>0.719444444444444</c:v>
                </c:pt>
                <c:pt idx="367">
                  <c:v>0.719791666666667</c:v>
                </c:pt>
                <c:pt idx="368">
                  <c:v>0.720138888888889</c:v>
                </c:pt>
                <c:pt idx="369">
                  <c:v>0.720486111111111</c:v>
                </c:pt>
                <c:pt idx="370">
                  <c:v>0.720833333333333</c:v>
                </c:pt>
                <c:pt idx="371">
                  <c:v>0.721180555555556</c:v>
                </c:pt>
                <c:pt idx="372">
                  <c:v>0.721527777777778</c:v>
                </c:pt>
                <c:pt idx="373">
                  <c:v>0.721875</c:v>
                </c:pt>
                <c:pt idx="374">
                  <c:v>0.722222222222222</c:v>
                </c:pt>
                <c:pt idx="375">
                  <c:v>0.722569444444445</c:v>
                </c:pt>
                <c:pt idx="376">
                  <c:v>0.722916666666667</c:v>
                </c:pt>
                <c:pt idx="377">
                  <c:v>0.723263888888889</c:v>
                </c:pt>
                <c:pt idx="378">
                  <c:v>0.723611111111111</c:v>
                </c:pt>
                <c:pt idx="379">
                  <c:v>0.723958333333333</c:v>
                </c:pt>
                <c:pt idx="380">
                  <c:v>0.724305555555556</c:v>
                </c:pt>
                <c:pt idx="381">
                  <c:v>0.724652777777778</c:v>
                </c:pt>
                <c:pt idx="382">
                  <c:v>0.725</c:v>
                </c:pt>
                <c:pt idx="383">
                  <c:v>0.725347222222222</c:v>
                </c:pt>
                <c:pt idx="384">
                  <c:v>0.725694444444444</c:v>
                </c:pt>
                <c:pt idx="385">
                  <c:v>0.726041666666667</c:v>
                </c:pt>
                <c:pt idx="386">
                  <c:v>0.726388888888889</c:v>
                </c:pt>
                <c:pt idx="387">
                  <c:v>0.726736111111111</c:v>
                </c:pt>
                <c:pt idx="388">
                  <c:v>0.727083333333333</c:v>
                </c:pt>
                <c:pt idx="389">
                  <c:v>0.727430555555556</c:v>
                </c:pt>
                <c:pt idx="390">
                  <c:v>0.727777777777778</c:v>
                </c:pt>
                <c:pt idx="391">
                  <c:v>0.728125</c:v>
                </c:pt>
                <c:pt idx="392">
                  <c:v>0.728472222222222</c:v>
                </c:pt>
                <c:pt idx="393">
                  <c:v>0.728819444444445</c:v>
                </c:pt>
                <c:pt idx="394">
                  <c:v>0.729166666666667</c:v>
                </c:pt>
                <c:pt idx="395">
                  <c:v>0.729513888888889</c:v>
                </c:pt>
                <c:pt idx="396">
                  <c:v>0.729861111111111</c:v>
                </c:pt>
                <c:pt idx="397">
                  <c:v>0.730208333333333</c:v>
                </c:pt>
                <c:pt idx="398">
                  <c:v>0.730555555555556</c:v>
                </c:pt>
                <c:pt idx="399">
                  <c:v>0.730902777777778</c:v>
                </c:pt>
                <c:pt idx="400">
                  <c:v>0.73125</c:v>
                </c:pt>
                <c:pt idx="401">
                  <c:v>0.731597222222222</c:v>
                </c:pt>
                <c:pt idx="402">
                  <c:v>0.731944444444445</c:v>
                </c:pt>
                <c:pt idx="403">
                  <c:v>0.732291666666667</c:v>
                </c:pt>
                <c:pt idx="404">
                  <c:v>0.732638888888889</c:v>
                </c:pt>
                <c:pt idx="405">
                  <c:v>0.732986111111111</c:v>
                </c:pt>
                <c:pt idx="406">
                  <c:v>0.733333333333333</c:v>
                </c:pt>
                <c:pt idx="407">
                  <c:v>0.733680555555556</c:v>
                </c:pt>
                <c:pt idx="408">
                  <c:v>0.734027777777778</c:v>
                </c:pt>
                <c:pt idx="409">
                  <c:v>0.734375</c:v>
                </c:pt>
                <c:pt idx="410">
                  <c:v>0.734722222222222</c:v>
                </c:pt>
                <c:pt idx="411">
                  <c:v>0.735069444444444</c:v>
                </c:pt>
                <c:pt idx="412">
                  <c:v>0.735416666666667</c:v>
                </c:pt>
                <c:pt idx="413">
                  <c:v>0.735763888888889</c:v>
                </c:pt>
                <c:pt idx="414">
                  <c:v>0.736111111111111</c:v>
                </c:pt>
                <c:pt idx="415">
                  <c:v>0.736458333333333</c:v>
                </c:pt>
                <c:pt idx="416">
                  <c:v>0.736805555555556</c:v>
                </c:pt>
                <c:pt idx="417">
                  <c:v>0.737152777777778</c:v>
                </c:pt>
                <c:pt idx="418">
                  <c:v>0.7375</c:v>
                </c:pt>
                <c:pt idx="419">
                  <c:v>0.737847222222222</c:v>
                </c:pt>
                <c:pt idx="420">
                  <c:v>0.738194444444445</c:v>
                </c:pt>
                <c:pt idx="421">
                  <c:v>0.738541666666667</c:v>
                </c:pt>
                <c:pt idx="422">
                  <c:v>0.738888888888889</c:v>
                </c:pt>
                <c:pt idx="423">
                  <c:v>0.739236111111111</c:v>
                </c:pt>
                <c:pt idx="424">
                  <c:v>0.739583333333333</c:v>
                </c:pt>
                <c:pt idx="425">
                  <c:v>0.739930555555556</c:v>
                </c:pt>
                <c:pt idx="426">
                  <c:v>0.740277777777778</c:v>
                </c:pt>
                <c:pt idx="427">
                  <c:v>0.740625</c:v>
                </c:pt>
                <c:pt idx="428">
                  <c:v>0.740972222222222</c:v>
                </c:pt>
                <c:pt idx="429">
                  <c:v>0.741319444444444</c:v>
                </c:pt>
                <c:pt idx="430">
                  <c:v>0.741666666666667</c:v>
                </c:pt>
                <c:pt idx="431">
                  <c:v>0.742013888888889</c:v>
                </c:pt>
                <c:pt idx="432">
                  <c:v>0.742361111111111</c:v>
                </c:pt>
                <c:pt idx="433">
                  <c:v>0.742708333333333</c:v>
                </c:pt>
                <c:pt idx="434">
                  <c:v>0.743055555555556</c:v>
                </c:pt>
                <c:pt idx="435">
                  <c:v>0.743402777777778</c:v>
                </c:pt>
                <c:pt idx="436">
                  <c:v>0.74375</c:v>
                </c:pt>
                <c:pt idx="437">
                  <c:v>0.744097222222222</c:v>
                </c:pt>
                <c:pt idx="438">
                  <c:v>0.744444444444445</c:v>
                </c:pt>
                <c:pt idx="439">
                  <c:v>0.744791666666667</c:v>
                </c:pt>
                <c:pt idx="440">
                  <c:v>0.745138888888889</c:v>
                </c:pt>
                <c:pt idx="441">
                  <c:v>0.745486111111111</c:v>
                </c:pt>
              </c:numCache>
            </c:numRef>
          </c:xVal>
          <c:yVal>
            <c:numRef>
              <c:f>'Flight data'!$G$2:$G$443</c:f>
              <c:numCache>
                <c:formatCode>General</c:formatCode>
                <c:ptCount val="442"/>
                <c:pt idx="0">
                  <c:v>105</c:v>
                </c:pt>
                <c:pt idx="1">
                  <c:v>132</c:v>
                </c:pt>
                <c:pt idx="2">
                  <c:v>253</c:v>
                </c:pt>
                <c:pt idx="3">
                  <c:v>354</c:v>
                </c:pt>
                <c:pt idx="4">
                  <c:v>441</c:v>
                </c:pt>
                <c:pt idx="5">
                  <c:v>564</c:v>
                </c:pt>
                <c:pt idx="6">
                  <c:v>724</c:v>
                </c:pt>
                <c:pt idx="7">
                  <c:v>876</c:v>
                </c:pt>
                <c:pt idx="8">
                  <c:v>986</c:v>
                </c:pt>
                <c:pt idx="9">
                  <c:v>1093</c:v>
                </c:pt>
                <c:pt idx="10">
                  <c:v>1208</c:v>
                </c:pt>
                <c:pt idx="11">
                  <c:v>1327</c:v>
                </c:pt>
                <c:pt idx="12">
                  <c:v>1427</c:v>
                </c:pt>
                <c:pt idx="13">
                  <c:v>1531</c:v>
                </c:pt>
                <c:pt idx="14">
                  <c:v>1627</c:v>
                </c:pt>
                <c:pt idx="15">
                  <c:v>1734</c:v>
                </c:pt>
                <c:pt idx="16">
                  <c:v>1860</c:v>
                </c:pt>
                <c:pt idx="17">
                  <c:v>1986</c:v>
                </c:pt>
                <c:pt idx="18">
                  <c:v>2113</c:v>
                </c:pt>
                <c:pt idx="19">
                  <c:v>2185</c:v>
                </c:pt>
                <c:pt idx="20">
                  <c:v>2282</c:v>
                </c:pt>
                <c:pt idx="21">
                  <c:v>2398</c:v>
                </c:pt>
                <c:pt idx="22">
                  <c:v>2507</c:v>
                </c:pt>
                <c:pt idx="23">
                  <c:v>2631</c:v>
                </c:pt>
                <c:pt idx="24">
                  <c:v>2754</c:v>
                </c:pt>
                <c:pt idx="25">
                  <c:v>2894</c:v>
                </c:pt>
                <c:pt idx="26">
                  <c:v>3008</c:v>
                </c:pt>
                <c:pt idx="27">
                  <c:v>3127</c:v>
                </c:pt>
                <c:pt idx="28">
                  <c:v>3234</c:v>
                </c:pt>
                <c:pt idx="29">
                  <c:v>3356</c:v>
                </c:pt>
                <c:pt idx="30">
                  <c:v>3479</c:v>
                </c:pt>
                <c:pt idx="31">
                  <c:v>3580</c:v>
                </c:pt>
                <c:pt idx="32">
                  <c:v>3683</c:v>
                </c:pt>
                <c:pt idx="33">
                  <c:v>3780</c:v>
                </c:pt>
                <c:pt idx="34">
                  <c:v>3882</c:v>
                </c:pt>
                <c:pt idx="35">
                  <c:v>3987</c:v>
                </c:pt>
                <c:pt idx="36">
                  <c:v>4095</c:v>
                </c:pt>
                <c:pt idx="37">
                  <c:v>4198</c:v>
                </c:pt>
                <c:pt idx="38">
                  <c:v>4320</c:v>
                </c:pt>
                <c:pt idx="39">
                  <c:v>4425</c:v>
                </c:pt>
                <c:pt idx="40">
                  <c:v>4524</c:v>
                </c:pt>
                <c:pt idx="41">
                  <c:v>4623</c:v>
                </c:pt>
                <c:pt idx="42">
                  <c:v>4723</c:v>
                </c:pt>
                <c:pt idx="43">
                  <c:v>4828</c:v>
                </c:pt>
                <c:pt idx="44">
                  <c:v>4926</c:v>
                </c:pt>
                <c:pt idx="45">
                  <c:v>5029</c:v>
                </c:pt>
                <c:pt idx="46">
                  <c:v>5125</c:v>
                </c:pt>
                <c:pt idx="47">
                  <c:v>5221</c:v>
                </c:pt>
                <c:pt idx="48">
                  <c:v>5325</c:v>
                </c:pt>
                <c:pt idx="49">
                  <c:v>5431</c:v>
                </c:pt>
                <c:pt idx="50">
                  <c:v>5536</c:v>
                </c:pt>
                <c:pt idx="51">
                  <c:v>5640</c:v>
                </c:pt>
                <c:pt idx="52">
                  <c:v>5743</c:v>
                </c:pt>
                <c:pt idx="53">
                  <c:v>5845</c:v>
                </c:pt>
                <c:pt idx="54">
                  <c:v>5957</c:v>
                </c:pt>
                <c:pt idx="55">
                  <c:v>6056</c:v>
                </c:pt>
                <c:pt idx="56">
                  <c:v>6157</c:v>
                </c:pt>
                <c:pt idx="57">
                  <c:v>6256</c:v>
                </c:pt>
                <c:pt idx="58">
                  <c:v>6355</c:v>
                </c:pt>
                <c:pt idx="59">
                  <c:v>6452</c:v>
                </c:pt>
                <c:pt idx="60">
                  <c:v>6553</c:v>
                </c:pt>
                <c:pt idx="61">
                  <c:v>6658</c:v>
                </c:pt>
                <c:pt idx="62">
                  <c:v>6748</c:v>
                </c:pt>
                <c:pt idx="63">
                  <c:v>6842</c:v>
                </c:pt>
                <c:pt idx="64">
                  <c:v>6934</c:v>
                </c:pt>
                <c:pt idx="65">
                  <c:v>7031</c:v>
                </c:pt>
                <c:pt idx="66">
                  <c:v>7124</c:v>
                </c:pt>
                <c:pt idx="67">
                  <c:v>7226</c:v>
                </c:pt>
                <c:pt idx="68">
                  <c:v>7337</c:v>
                </c:pt>
                <c:pt idx="69">
                  <c:v>7441</c:v>
                </c:pt>
                <c:pt idx="70">
                  <c:v>7541</c:v>
                </c:pt>
                <c:pt idx="71">
                  <c:v>7643</c:v>
                </c:pt>
                <c:pt idx="72">
                  <c:v>7742</c:v>
                </c:pt>
                <c:pt idx="73">
                  <c:v>7841</c:v>
                </c:pt>
                <c:pt idx="74">
                  <c:v>7946</c:v>
                </c:pt>
                <c:pt idx="75">
                  <c:v>8063</c:v>
                </c:pt>
                <c:pt idx="76">
                  <c:v>8194</c:v>
                </c:pt>
                <c:pt idx="77">
                  <c:v>8311</c:v>
                </c:pt>
                <c:pt idx="78">
                  <c:v>8418</c:v>
                </c:pt>
                <c:pt idx="79">
                  <c:v>8526</c:v>
                </c:pt>
                <c:pt idx="80">
                  <c:v>8637</c:v>
                </c:pt>
                <c:pt idx="81">
                  <c:v>8741</c:v>
                </c:pt>
                <c:pt idx="82">
                  <c:v>8846</c:v>
                </c:pt>
                <c:pt idx="83">
                  <c:v>8951</c:v>
                </c:pt>
                <c:pt idx="84">
                  <c:v>9057</c:v>
                </c:pt>
                <c:pt idx="85">
                  <c:v>9174</c:v>
                </c:pt>
                <c:pt idx="86">
                  <c:v>9287</c:v>
                </c:pt>
                <c:pt idx="87">
                  <c:v>9395</c:v>
                </c:pt>
                <c:pt idx="88">
                  <c:v>9511</c:v>
                </c:pt>
                <c:pt idx="89">
                  <c:v>9626</c:v>
                </c:pt>
                <c:pt idx="90">
                  <c:v>9740</c:v>
                </c:pt>
                <c:pt idx="91">
                  <c:v>9852</c:v>
                </c:pt>
                <c:pt idx="92">
                  <c:v>9975</c:v>
                </c:pt>
                <c:pt idx="93">
                  <c:v>10109</c:v>
                </c:pt>
                <c:pt idx="94">
                  <c:v>10222</c:v>
                </c:pt>
                <c:pt idx="95">
                  <c:v>10330</c:v>
                </c:pt>
                <c:pt idx="96">
                  <c:v>10436</c:v>
                </c:pt>
                <c:pt idx="97">
                  <c:v>10539</c:v>
                </c:pt>
                <c:pt idx="98">
                  <c:v>10647</c:v>
                </c:pt>
                <c:pt idx="99">
                  <c:v>10758</c:v>
                </c:pt>
                <c:pt idx="100">
                  <c:v>10868</c:v>
                </c:pt>
                <c:pt idx="101">
                  <c:v>10982</c:v>
                </c:pt>
                <c:pt idx="102">
                  <c:v>11089</c:v>
                </c:pt>
                <c:pt idx="103">
                  <c:v>11195</c:v>
                </c:pt>
                <c:pt idx="104">
                  <c:v>11306</c:v>
                </c:pt>
                <c:pt idx="105">
                  <c:v>11411</c:v>
                </c:pt>
                <c:pt idx="106">
                  <c:v>11524</c:v>
                </c:pt>
                <c:pt idx="107">
                  <c:v>11639</c:v>
                </c:pt>
                <c:pt idx="108">
                  <c:v>11750</c:v>
                </c:pt>
                <c:pt idx="109">
                  <c:v>11861</c:v>
                </c:pt>
                <c:pt idx="110">
                  <c:v>11979</c:v>
                </c:pt>
                <c:pt idx="111">
                  <c:v>12091</c:v>
                </c:pt>
                <c:pt idx="112">
                  <c:v>12197</c:v>
                </c:pt>
                <c:pt idx="113">
                  <c:v>12309</c:v>
                </c:pt>
                <c:pt idx="114">
                  <c:v>12417</c:v>
                </c:pt>
                <c:pt idx="115">
                  <c:v>12526</c:v>
                </c:pt>
                <c:pt idx="116">
                  <c:v>12636</c:v>
                </c:pt>
                <c:pt idx="117">
                  <c:v>12747</c:v>
                </c:pt>
                <c:pt idx="118">
                  <c:v>12859</c:v>
                </c:pt>
                <c:pt idx="119">
                  <c:v>12977</c:v>
                </c:pt>
                <c:pt idx="120">
                  <c:v>13101</c:v>
                </c:pt>
                <c:pt idx="121">
                  <c:v>13242</c:v>
                </c:pt>
                <c:pt idx="122">
                  <c:v>13358</c:v>
                </c:pt>
                <c:pt idx="123">
                  <c:v>13476</c:v>
                </c:pt>
                <c:pt idx="124">
                  <c:v>13593</c:v>
                </c:pt>
                <c:pt idx="125">
                  <c:v>13703</c:v>
                </c:pt>
                <c:pt idx="126">
                  <c:v>13812</c:v>
                </c:pt>
                <c:pt idx="127">
                  <c:v>13922</c:v>
                </c:pt>
                <c:pt idx="128">
                  <c:v>14042</c:v>
                </c:pt>
                <c:pt idx="129">
                  <c:v>14163</c:v>
                </c:pt>
                <c:pt idx="130">
                  <c:v>14282</c:v>
                </c:pt>
                <c:pt idx="131">
                  <c:v>14394</c:v>
                </c:pt>
                <c:pt idx="132">
                  <c:v>14508</c:v>
                </c:pt>
                <c:pt idx="133">
                  <c:v>14618</c:v>
                </c:pt>
                <c:pt idx="134">
                  <c:v>14728</c:v>
                </c:pt>
                <c:pt idx="135">
                  <c:v>14843</c:v>
                </c:pt>
                <c:pt idx="136">
                  <c:v>14966</c:v>
                </c:pt>
                <c:pt idx="137">
                  <c:v>15090</c:v>
                </c:pt>
                <c:pt idx="138">
                  <c:v>15206</c:v>
                </c:pt>
                <c:pt idx="139">
                  <c:v>15319</c:v>
                </c:pt>
                <c:pt idx="140">
                  <c:v>15436</c:v>
                </c:pt>
                <c:pt idx="141">
                  <c:v>15543</c:v>
                </c:pt>
                <c:pt idx="142">
                  <c:v>15658</c:v>
                </c:pt>
                <c:pt idx="143">
                  <c:v>15767</c:v>
                </c:pt>
                <c:pt idx="144">
                  <c:v>15885</c:v>
                </c:pt>
                <c:pt idx="145">
                  <c:v>16004</c:v>
                </c:pt>
                <c:pt idx="146">
                  <c:v>16120</c:v>
                </c:pt>
                <c:pt idx="147">
                  <c:v>16242</c:v>
                </c:pt>
                <c:pt idx="148">
                  <c:v>16363</c:v>
                </c:pt>
                <c:pt idx="149">
                  <c:v>16487</c:v>
                </c:pt>
                <c:pt idx="150">
                  <c:v>16620</c:v>
                </c:pt>
                <c:pt idx="151">
                  <c:v>16749</c:v>
                </c:pt>
                <c:pt idx="152">
                  <c:v>16867</c:v>
                </c:pt>
                <c:pt idx="153">
                  <c:v>16984</c:v>
                </c:pt>
                <c:pt idx="154">
                  <c:v>17107</c:v>
                </c:pt>
                <c:pt idx="155">
                  <c:v>17226</c:v>
                </c:pt>
                <c:pt idx="156">
                  <c:v>17354</c:v>
                </c:pt>
                <c:pt idx="157">
                  <c:v>17487</c:v>
                </c:pt>
                <c:pt idx="158">
                  <c:v>17609</c:v>
                </c:pt>
                <c:pt idx="159">
                  <c:v>17733</c:v>
                </c:pt>
                <c:pt idx="160">
                  <c:v>17858</c:v>
                </c:pt>
                <c:pt idx="161">
                  <c:v>17988</c:v>
                </c:pt>
                <c:pt idx="162">
                  <c:v>18114</c:v>
                </c:pt>
                <c:pt idx="163">
                  <c:v>18231</c:v>
                </c:pt>
                <c:pt idx="164">
                  <c:v>18348</c:v>
                </c:pt>
                <c:pt idx="165">
                  <c:v>18473</c:v>
                </c:pt>
                <c:pt idx="166">
                  <c:v>18596</c:v>
                </c:pt>
                <c:pt idx="167">
                  <c:v>18730</c:v>
                </c:pt>
                <c:pt idx="168">
                  <c:v>18863</c:v>
                </c:pt>
                <c:pt idx="169">
                  <c:v>18989</c:v>
                </c:pt>
                <c:pt idx="170">
                  <c:v>19118</c:v>
                </c:pt>
                <c:pt idx="171">
                  <c:v>19250</c:v>
                </c:pt>
                <c:pt idx="172">
                  <c:v>19377</c:v>
                </c:pt>
                <c:pt idx="173">
                  <c:v>19512</c:v>
                </c:pt>
                <c:pt idx="174">
                  <c:v>19648</c:v>
                </c:pt>
                <c:pt idx="175">
                  <c:v>19779</c:v>
                </c:pt>
                <c:pt idx="176">
                  <c:v>19908</c:v>
                </c:pt>
                <c:pt idx="177">
                  <c:v>20039</c:v>
                </c:pt>
                <c:pt idx="178">
                  <c:v>20176</c:v>
                </c:pt>
                <c:pt idx="179">
                  <c:v>20308</c:v>
                </c:pt>
                <c:pt idx="180">
                  <c:v>20455</c:v>
                </c:pt>
                <c:pt idx="181">
                  <c:v>20596</c:v>
                </c:pt>
                <c:pt idx="182">
                  <c:v>20731</c:v>
                </c:pt>
                <c:pt idx="183">
                  <c:v>20866</c:v>
                </c:pt>
                <c:pt idx="184">
                  <c:v>20998</c:v>
                </c:pt>
                <c:pt idx="185">
                  <c:v>21129</c:v>
                </c:pt>
                <c:pt idx="186">
                  <c:v>21269</c:v>
                </c:pt>
                <c:pt idx="187">
                  <c:v>21408</c:v>
                </c:pt>
                <c:pt idx="188">
                  <c:v>21536</c:v>
                </c:pt>
                <c:pt idx="189">
                  <c:v>21665</c:v>
                </c:pt>
                <c:pt idx="190">
                  <c:v>21799</c:v>
                </c:pt>
                <c:pt idx="191">
                  <c:v>21935</c:v>
                </c:pt>
                <c:pt idx="192">
                  <c:v>22080</c:v>
                </c:pt>
                <c:pt idx="193">
                  <c:v>22211</c:v>
                </c:pt>
                <c:pt idx="194">
                  <c:v>22350</c:v>
                </c:pt>
                <c:pt idx="195">
                  <c:v>22482</c:v>
                </c:pt>
                <c:pt idx="196">
                  <c:v>22610</c:v>
                </c:pt>
                <c:pt idx="197">
                  <c:v>22746</c:v>
                </c:pt>
                <c:pt idx="198">
                  <c:v>22874</c:v>
                </c:pt>
                <c:pt idx="199">
                  <c:v>23005</c:v>
                </c:pt>
                <c:pt idx="200">
                  <c:v>23148</c:v>
                </c:pt>
                <c:pt idx="201">
                  <c:v>23297</c:v>
                </c:pt>
                <c:pt idx="202">
                  <c:v>23439</c:v>
                </c:pt>
                <c:pt idx="203">
                  <c:v>23580</c:v>
                </c:pt>
                <c:pt idx="204">
                  <c:v>23720</c:v>
                </c:pt>
                <c:pt idx="205">
                  <c:v>23855</c:v>
                </c:pt>
                <c:pt idx="206">
                  <c:v>23988</c:v>
                </c:pt>
                <c:pt idx="207">
                  <c:v>24129</c:v>
                </c:pt>
                <c:pt idx="208">
                  <c:v>24274</c:v>
                </c:pt>
                <c:pt idx="209">
                  <c:v>24407</c:v>
                </c:pt>
                <c:pt idx="210">
                  <c:v>24554</c:v>
                </c:pt>
                <c:pt idx="211">
                  <c:v>24692</c:v>
                </c:pt>
                <c:pt idx="212">
                  <c:v>24832</c:v>
                </c:pt>
                <c:pt idx="213">
                  <c:v>24975</c:v>
                </c:pt>
                <c:pt idx="214">
                  <c:v>25127</c:v>
                </c:pt>
                <c:pt idx="215">
                  <c:v>25269</c:v>
                </c:pt>
                <c:pt idx="216">
                  <c:v>25409</c:v>
                </c:pt>
                <c:pt idx="217">
                  <c:v>25553</c:v>
                </c:pt>
                <c:pt idx="218">
                  <c:v>25692</c:v>
                </c:pt>
                <c:pt idx="219">
                  <c:v>25841</c:v>
                </c:pt>
                <c:pt idx="220">
                  <c:v>26000</c:v>
                </c:pt>
                <c:pt idx="221">
                  <c:v>26144</c:v>
                </c:pt>
                <c:pt idx="222">
                  <c:v>26291</c:v>
                </c:pt>
                <c:pt idx="223">
                  <c:v>26434</c:v>
                </c:pt>
                <c:pt idx="224">
                  <c:v>26586</c:v>
                </c:pt>
                <c:pt idx="225">
                  <c:v>26733</c:v>
                </c:pt>
                <c:pt idx="226">
                  <c:v>26874</c:v>
                </c:pt>
                <c:pt idx="227">
                  <c:v>27012</c:v>
                </c:pt>
                <c:pt idx="228">
                  <c:v>27156</c:v>
                </c:pt>
                <c:pt idx="229">
                  <c:v>27295</c:v>
                </c:pt>
                <c:pt idx="230">
                  <c:v>27445</c:v>
                </c:pt>
                <c:pt idx="231">
                  <c:v>27599</c:v>
                </c:pt>
                <c:pt idx="232">
                  <c:v>27751</c:v>
                </c:pt>
                <c:pt idx="233">
                  <c:v>27901</c:v>
                </c:pt>
                <c:pt idx="234">
                  <c:v>28053</c:v>
                </c:pt>
                <c:pt idx="235">
                  <c:v>28209</c:v>
                </c:pt>
                <c:pt idx="236">
                  <c:v>28361</c:v>
                </c:pt>
                <c:pt idx="237">
                  <c:v>28512</c:v>
                </c:pt>
                <c:pt idx="238">
                  <c:v>28672</c:v>
                </c:pt>
                <c:pt idx="239">
                  <c:v>28834</c:v>
                </c:pt>
                <c:pt idx="240">
                  <c:v>28987</c:v>
                </c:pt>
                <c:pt idx="241">
                  <c:v>29143</c:v>
                </c:pt>
                <c:pt idx="242">
                  <c:v>29307</c:v>
                </c:pt>
                <c:pt idx="243">
                  <c:v>29476</c:v>
                </c:pt>
                <c:pt idx="244">
                  <c:v>29636</c:v>
                </c:pt>
                <c:pt idx="245">
                  <c:v>29793</c:v>
                </c:pt>
                <c:pt idx="246">
                  <c:v>29947</c:v>
                </c:pt>
                <c:pt idx="247">
                  <c:v>30101</c:v>
                </c:pt>
                <c:pt idx="248">
                  <c:v>30260</c:v>
                </c:pt>
                <c:pt idx="249">
                  <c:v>30411</c:v>
                </c:pt>
                <c:pt idx="250">
                  <c:v>30565</c:v>
                </c:pt>
                <c:pt idx="251">
                  <c:v>30726</c:v>
                </c:pt>
                <c:pt idx="252">
                  <c:v>30891</c:v>
                </c:pt>
                <c:pt idx="253">
                  <c:v>31044</c:v>
                </c:pt>
                <c:pt idx="254">
                  <c:v>31201</c:v>
                </c:pt>
                <c:pt idx="255">
                  <c:v>31360</c:v>
                </c:pt>
                <c:pt idx="256">
                  <c:v>31501</c:v>
                </c:pt>
                <c:pt idx="257">
                  <c:v>31643</c:v>
                </c:pt>
                <c:pt idx="258">
                  <c:v>31796</c:v>
                </c:pt>
                <c:pt idx="259">
                  <c:v>31946</c:v>
                </c:pt>
                <c:pt idx="260">
                  <c:v>32100</c:v>
                </c:pt>
                <c:pt idx="261">
                  <c:v>32260</c:v>
                </c:pt>
                <c:pt idx="262">
                  <c:v>32422</c:v>
                </c:pt>
                <c:pt idx="263">
                  <c:v>32588</c:v>
                </c:pt>
                <c:pt idx="264">
                  <c:v>32755</c:v>
                </c:pt>
                <c:pt idx="265">
                  <c:v>32906</c:v>
                </c:pt>
                <c:pt idx="266">
                  <c:v>33054</c:v>
                </c:pt>
                <c:pt idx="267">
                  <c:v>33201</c:v>
                </c:pt>
                <c:pt idx="268">
                  <c:v>33355</c:v>
                </c:pt>
                <c:pt idx="269">
                  <c:v>33509</c:v>
                </c:pt>
                <c:pt idx="270">
                  <c:v>33653</c:v>
                </c:pt>
                <c:pt idx="271">
                  <c:v>33802</c:v>
                </c:pt>
                <c:pt idx="272">
                  <c:v>33946</c:v>
                </c:pt>
                <c:pt idx="273">
                  <c:v>34093</c:v>
                </c:pt>
                <c:pt idx="274">
                  <c:v>34237</c:v>
                </c:pt>
                <c:pt idx="275">
                  <c:v>34373</c:v>
                </c:pt>
                <c:pt idx="276">
                  <c:v>34528</c:v>
                </c:pt>
                <c:pt idx="277">
                  <c:v>34676</c:v>
                </c:pt>
                <c:pt idx="278">
                  <c:v>34818</c:v>
                </c:pt>
                <c:pt idx="279">
                  <c:v>34958</c:v>
                </c:pt>
                <c:pt idx="280">
                  <c:v>35094</c:v>
                </c:pt>
                <c:pt idx="281">
                  <c:v>35233</c:v>
                </c:pt>
                <c:pt idx="282">
                  <c:v>35358</c:v>
                </c:pt>
                <c:pt idx="283">
                  <c:v>35481</c:v>
                </c:pt>
                <c:pt idx="284">
                  <c:v>35611</c:v>
                </c:pt>
                <c:pt idx="285">
                  <c:v>35742</c:v>
                </c:pt>
                <c:pt idx="286">
                  <c:v>35872</c:v>
                </c:pt>
                <c:pt idx="287">
                  <c:v>36012</c:v>
                </c:pt>
                <c:pt idx="288">
                  <c:v>36166</c:v>
                </c:pt>
                <c:pt idx="289">
                  <c:v>36314</c:v>
                </c:pt>
                <c:pt idx="290">
                  <c:v>36439</c:v>
                </c:pt>
                <c:pt idx="291">
                  <c:v>36569</c:v>
                </c:pt>
                <c:pt idx="292">
                  <c:v>36697</c:v>
                </c:pt>
                <c:pt idx="293">
                  <c:v>36827</c:v>
                </c:pt>
                <c:pt idx="294">
                  <c:v>36954</c:v>
                </c:pt>
                <c:pt idx="295">
                  <c:v>37085</c:v>
                </c:pt>
                <c:pt idx="296">
                  <c:v>37225</c:v>
                </c:pt>
                <c:pt idx="297">
                  <c:v>37348</c:v>
                </c:pt>
                <c:pt idx="298">
                  <c:v>37466</c:v>
                </c:pt>
                <c:pt idx="299">
                  <c:v>37578</c:v>
                </c:pt>
                <c:pt idx="300">
                  <c:v>37252</c:v>
                </c:pt>
                <c:pt idx="301">
                  <c:v>35766</c:v>
                </c:pt>
                <c:pt idx="302">
                  <c:v>34352</c:v>
                </c:pt>
                <c:pt idx="303">
                  <c:v>33197</c:v>
                </c:pt>
                <c:pt idx="304">
                  <c:v>32118</c:v>
                </c:pt>
                <c:pt idx="305">
                  <c:v>31073</c:v>
                </c:pt>
                <c:pt idx="306">
                  <c:v>30065</c:v>
                </c:pt>
                <c:pt idx="307">
                  <c:v>29183</c:v>
                </c:pt>
                <c:pt idx="308">
                  <c:v>28368</c:v>
                </c:pt>
                <c:pt idx="309">
                  <c:v>27583</c:v>
                </c:pt>
                <c:pt idx="310">
                  <c:v>26866</c:v>
                </c:pt>
                <c:pt idx="311">
                  <c:v>26186</c:v>
                </c:pt>
                <c:pt idx="312">
                  <c:v>25518</c:v>
                </c:pt>
                <c:pt idx="313">
                  <c:v>24870</c:v>
                </c:pt>
                <c:pt idx="314">
                  <c:v>24256</c:v>
                </c:pt>
                <c:pt idx="315">
                  <c:v>23695</c:v>
                </c:pt>
                <c:pt idx="316">
                  <c:v>23173</c:v>
                </c:pt>
                <c:pt idx="317">
                  <c:v>22662</c:v>
                </c:pt>
                <c:pt idx="318">
                  <c:v>22182</c:v>
                </c:pt>
                <c:pt idx="319">
                  <c:v>21723</c:v>
                </c:pt>
                <c:pt idx="320">
                  <c:v>21237</c:v>
                </c:pt>
                <c:pt idx="321">
                  <c:v>20779</c:v>
                </c:pt>
                <c:pt idx="322">
                  <c:v>20363</c:v>
                </c:pt>
                <c:pt idx="323">
                  <c:v>19950</c:v>
                </c:pt>
                <c:pt idx="324">
                  <c:v>19545</c:v>
                </c:pt>
                <c:pt idx="325">
                  <c:v>19150</c:v>
                </c:pt>
                <c:pt idx="326">
                  <c:v>18789</c:v>
                </c:pt>
                <c:pt idx="327">
                  <c:v>18450</c:v>
                </c:pt>
                <c:pt idx="328">
                  <c:v>18116</c:v>
                </c:pt>
                <c:pt idx="329">
                  <c:v>17813</c:v>
                </c:pt>
                <c:pt idx="330">
                  <c:v>17496</c:v>
                </c:pt>
                <c:pt idx="331">
                  <c:v>17186</c:v>
                </c:pt>
                <c:pt idx="332">
                  <c:v>16934</c:v>
                </c:pt>
                <c:pt idx="333">
                  <c:v>16684</c:v>
                </c:pt>
                <c:pt idx="334">
                  <c:v>16453</c:v>
                </c:pt>
                <c:pt idx="335">
                  <c:v>16195</c:v>
                </c:pt>
                <c:pt idx="336">
                  <c:v>15933</c:v>
                </c:pt>
                <c:pt idx="337">
                  <c:v>15657</c:v>
                </c:pt>
                <c:pt idx="338">
                  <c:v>15366</c:v>
                </c:pt>
                <c:pt idx="339">
                  <c:v>15031</c:v>
                </c:pt>
                <c:pt idx="340">
                  <c:v>14709</c:v>
                </c:pt>
                <c:pt idx="341">
                  <c:v>14402</c:v>
                </c:pt>
                <c:pt idx="342">
                  <c:v>14098</c:v>
                </c:pt>
                <c:pt idx="343">
                  <c:v>13811</c:v>
                </c:pt>
                <c:pt idx="344">
                  <c:v>13533</c:v>
                </c:pt>
                <c:pt idx="345">
                  <c:v>13241</c:v>
                </c:pt>
                <c:pt idx="346">
                  <c:v>12969</c:v>
                </c:pt>
                <c:pt idx="347">
                  <c:v>12710</c:v>
                </c:pt>
                <c:pt idx="348">
                  <c:v>12456</c:v>
                </c:pt>
                <c:pt idx="349">
                  <c:v>12204</c:v>
                </c:pt>
                <c:pt idx="350">
                  <c:v>11961</c:v>
                </c:pt>
                <c:pt idx="351">
                  <c:v>11710</c:v>
                </c:pt>
                <c:pt idx="352">
                  <c:v>11450</c:v>
                </c:pt>
                <c:pt idx="353">
                  <c:v>11217</c:v>
                </c:pt>
                <c:pt idx="354">
                  <c:v>10986</c:v>
                </c:pt>
                <c:pt idx="355">
                  <c:v>10744</c:v>
                </c:pt>
                <c:pt idx="356">
                  <c:v>10510</c:v>
                </c:pt>
                <c:pt idx="357">
                  <c:v>10292</c:v>
                </c:pt>
                <c:pt idx="358">
                  <c:v>10076</c:v>
                </c:pt>
                <c:pt idx="359">
                  <c:v>9867</c:v>
                </c:pt>
                <c:pt idx="360">
                  <c:v>9662</c:v>
                </c:pt>
                <c:pt idx="361">
                  <c:v>9460</c:v>
                </c:pt>
                <c:pt idx="362">
                  <c:v>9261</c:v>
                </c:pt>
                <c:pt idx="363">
                  <c:v>9072</c:v>
                </c:pt>
                <c:pt idx="364">
                  <c:v>8858</c:v>
                </c:pt>
                <c:pt idx="365">
                  <c:v>8658</c:v>
                </c:pt>
                <c:pt idx="366">
                  <c:v>8467</c:v>
                </c:pt>
                <c:pt idx="367">
                  <c:v>8281</c:v>
                </c:pt>
                <c:pt idx="368">
                  <c:v>8091</c:v>
                </c:pt>
                <c:pt idx="369">
                  <c:v>7915</c:v>
                </c:pt>
                <c:pt idx="370">
                  <c:v>7721</c:v>
                </c:pt>
                <c:pt idx="371">
                  <c:v>7542</c:v>
                </c:pt>
                <c:pt idx="372">
                  <c:v>7366</c:v>
                </c:pt>
                <c:pt idx="373">
                  <c:v>7198</c:v>
                </c:pt>
                <c:pt idx="374">
                  <c:v>7035</c:v>
                </c:pt>
                <c:pt idx="375">
                  <c:v>6868</c:v>
                </c:pt>
                <c:pt idx="376">
                  <c:v>6703</c:v>
                </c:pt>
                <c:pt idx="377">
                  <c:v>6537</c:v>
                </c:pt>
                <c:pt idx="378">
                  <c:v>6383</c:v>
                </c:pt>
                <c:pt idx="379">
                  <c:v>6225</c:v>
                </c:pt>
                <c:pt idx="380">
                  <c:v>6076</c:v>
                </c:pt>
                <c:pt idx="381">
                  <c:v>5918</c:v>
                </c:pt>
                <c:pt idx="382">
                  <c:v>5759</c:v>
                </c:pt>
                <c:pt idx="383">
                  <c:v>5620</c:v>
                </c:pt>
                <c:pt idx="384">
                  <c:v>5481</c:v>
                </c:pt>
                <c:pt idx="385">
                  <c:v>5338</c:v>
                </c:pt>
                <c:pt idx="386">
                  <c:v>5202</c:v>
                </c:pt>
                <c:pt idx="387">
                  <c:v>5054</c:v>
                </c:pt>
                <c:pt idx="388">
                  <c:v>4909</c:v>
                </c:pt>
                <c:pt idx="389">
                  <c:v>4779</c:v>
                </c:pt>
                <c:pt idx="390">
                  <c:v>4653</c:v>
                </c:pt>
                <c:pt idx="391">
                  <c:v>4538</c:v>
                </c:pt>
                <c:pt idx="392">
                  <c:v>4423</c:v>
                </c:pt>
                <c:pt idx="393">
                  <c:v>4310</c:v>
                </c:pt>
                <c:pt idx="394">
                  <c:v>4201</c:v>
                </c:pt>
                <c:pt idx="395">
                  <c:v>4103</c:v>
                </c:pt>
                <c:pt idx="396">
                  <c:v>4007</c:v>
                </c:pt>
                <c:pt idx="397">
                  <c:v>3910</c:v>
                </c:pt>
                <c:pt idx="398">
                  <c:v>3813</c:v>
                </c:pt>
                <c:pt idx="399">
                  <c:v>3714</c:v>
                </c:pt>
                <c:pt idx="400">
                  <c:v>3615</c:v>
                </c:pt>
                <c:pt idx="401">
                  <c:v>3505</c:v>
                </c:pt>
                <c:pt idx="402">
                  <c:v>3395</c:v>
                </c:pt>
                <c:pt idx="403">
                  <c:v>3291</c:v>
                </c:pt>
                <c:pt idx="404">
                  <c:v>3186</c:v>
                </c:pt>
                <c:pt idx="405">
                  <c:v>3084</c:v>
                </c:pt>
                <c:pt idx="406">
                  <c:v>2972</c:v>
                </c:pt>
                <c:pt idx="407">
                  <c:v>2865</c:v>
                </c:pt>
                <c:pt idx="408">
                  <c:v>2762</c:v>
                </c:pt>
                <c:pt idx="409">
                  <c:v>2659</c:v>
                </c:pt>
                <c:pt idx="410">
                  <c:v>2553</c:v>
                </c:pt>
                <c:pt idx="411">
                  <c:v>2448</c:v>
                </c:pt>
                <c:pt idx="412">
                  <c:v>2341</c:v>
                </c:pt>
                <c:pt idx="413">
                  <c:v>2226</c:v>
                </c:pt>
                <c:pt idx="414">
                  <c:v>2116</c:v>
                </c:pt>
                <c:pt idx="415">
                  <c:v>2016</c:v>
                </c:pt>
                <c:pt idx="416">
                  <c:v>1914</c:v>
                </c:pt>
                <c:pt idx="417">
                  <c:v>1814</c:v>
                </c:pt>
                <c:pt idx="418">
                  <c:v>1722</c:v>
                </c:pt>
                <c:pt idx="419">
                  <c:v>1635</c:v>
                </c:pt>
                <c:pt idx="420">
                  <c:v>1549</c:v>
                </c:pt>
                <c:pt idx="421">
                  <c:v>1461</c:v>
                </c:pt>
                <c:pt idx="422">
                  <c:v>1374</c:v>
                </c:pt>
                <c:pt idx="423">
                  <c:v>1279</c:v>
                </c:pt>
                <c:pt idx="424">
                  <c:v>1184</c:v>
                </c:pt>
                <c:pt idx="425">
                  <c:v>1077</c:v>
                </c:pt>
                <c:pt idx="426">
                  <c:v>972</c:v>
                </c:pt>
                <c:pt idx="427">
                  <c:v>874</c:v>
                </c:pt>
                <c:pt idx="428">
                  <c:v>775</c:v>
                </c:pt>
                <c:pt idx="429">
                  <c:v>668</c:v>
                </c:pt>
                <c:pt idx="430">
                  <c:v>570</c:v>
                </c:pt>
                <c:pt idx="431">
                  <c:v>473</c:v>
                </c:pt>
                <c:pt idx="432">
                  <c:v>370</c:v>
                </c:pt>
                <c:pt idx="433">
                  <c:v>270</c:v>
                </c:pt>
                <c:pt idx="434">
                  <c:v>183</c:v>
                </c:pt>
                <c:pt idx="435">
                  <c:v>94.8</c:v>
                </c:pt>
                <c:pt idx="436">
                  <c:v>30.3</c:v>
                </c:pt>
                <c:pt idx="437">
                  <c:v>25</c:v>
                </c:pt>
                <c:pt idx="438">
                  <c:v>24.3</c:v>
                </c:pt>
                <c:pt idx="439">
                  <c:v>24</c:v>
                </c:pt>
                <c:pt idx="440">
                  <c:v>24</c:v>
                </c:pt>
                <c:pt idx="441">
                  <c:v>24</c:v>
                </c:pt>
              </c:numCache>
            </c:numRef>
          </c:yVal>
          <c:smooth val="0"/>
        </c:ser>
        <c:axId val="15238683"/>
        <c:axId val="5287156"/>
      </c:scatterChart>
      <c:scatterChart>
        <c:scatterStyle val="line"/>
        <c:varyColors val="0"/>
        <c:ser>
          <c:idx val="1"/>
          <c:order val="1"/>
          <c:tx>
            <c:strRef>
              <c:f>"absolute pressure"</c:f>
              <c:strCache>
                <c:ptCount val="1"/>
                <c:pt idx="0">
                  <c:v>absolute pressure</c:v>
                </c:pt>
              </c:strCache>
            </c:strRef>
          </c:tx>
          <c:spPr>
            <a:solidFill>
              <a:srgbClr val="004586"/>
            </a:solidFill>
            <a:ln w="144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44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'Flight data'!$A$2:$A$443</c:f>
              <c:numCache>
                <c:formatCode>hh:mm:ss</c:formatCode>
                <c:ptCount val="442"/>
                <c:pt idx="0">
                  <c:v>0.592361111111111</c:v>
                </c:pt>
                <c:pt idx="1">
                  <c:v>0.592708333333333</c:v>
                </c:pt>
                <c:pt idx="2">
                  <c:v>0.593055555555556</c:v>
                </c:pt>
                <c:pt idx="3">
                  <c:v>0.593402777777778</c:v>
                </c:pt>
                <c:pt idx="4">
                  <c:v>0.59375</c:v>
                </c:pt>
                <c:pt idx="5">
                  <c:v>0.594097222222222</c:v>
                </c:pt>
                <c:pt idx="6">
                  <c:v>0.594444444444444</c:v>
                </c:pt>
                <c:pt idx="7">
                  <c:v>0.594791666666667</c:v>
                </c:pt>
                <c:pt idx="8">
                  <c:v>0.595138888888889</c:v>
                </c:pt>
                <c:pt idx="9">
                  <c:v>0.595486111111111</c:v>
                </c:pt>
                <c:pt idx="10">
                  <c:v>0.595833333333333</c:v>
                </c:pt>
                <c:pt idx="11">
                  <c:v>0.596180555555556</c:v>
                </c:pt>
                <c:pt idx="12">
                  <c:v>0.596527777777778</c:v>
                </c:pt>
                <c:pt idx="13">
                  <c:v>0.596875</c:v>
                </c:pt>
                <c:pt idx="14">
                  <c:v>0.597222222222222</c:v>
                </c:pt>
                <c:pt idx="15">
                  <c:v>0.597569444444445</c:v>
                </c:pt>
                <c:pt idx="16">
                  <c:v>0.597916666666667</c:v>
                </c:pt>
                <c:pt idx="17">
                  <c:v>0.598263888888889</c:v>
                </c:pt>
                <c:pt idx="18">
                  <c:v>0.598611111111111</c:v>
                </c:pt>
                <c:pt idx="19">
                  <c:v>0.598958333333333</c:v>
                </c:pt>
                <c:pt idx="20">
                  <c:v>0.599305555555556</c:v>
                </c:pt>
                <c:pt idx="21">
                  <c:v>0.599652777777778</c:v>
                </c:pt>
                <c:pt idx="22">
                  <c:v>0.6</c:v>
                </c:pt>
                <c:pt idx="23">
                  <c:v>0.600347222222222</c:v>
                </c:pt>
                <c:pt idx="24">
                  <c:v>0.600694444444444</c:v>
                </c:pt>
                <c:pt idx="25">
                  <c:v>0.601041666666667</c:v>
                </c:pt>
                <c:pt idx="26">
                  <c:v>0.601388888888889</c:v>
                </c:pt>
                <c:pt idx="27">
                  <c:v>0.601736111111111</c:v>
                </c:pt>
                <c:pt idx="28">
                  <c:v>0.602083333333333</c:v>
                </c:pt>
                <c:pt idx="29">
                  <c:v>0.602430555555556</c:v>
                </c:pt>
                <c:pt idx="30">
                  <c:v>0.602777777777778</c:v>
                </c:pt>
                <c:pt idx="31">
                  <c:v>0.603125</c:v>
                </c:pt>
                <c:pt idx="32">
                  <c:v>0.603472222222222</c:v>
                </c:pt>
                <c:pt idx="33">
                  <c:v>0.603819444444445</c:v>
                </c:pt>
                <c:pt idx="34">
                  <c:v>0.604166666666667</c:v>
                </c:pt>
                <c:pt idx="35">
                  <c:v>0.604513888888889</c:v>
                </c:pt>
                <c:pt idx="36">
                  <c:v>0.604861111111111</c:v>
                </c:pt>
                <c:pt idx="37">
                  <c:v>0.605208333333333</c:v>
                </c:pt>
                <c:pt idx="38">
                  <c:v>0.605555555555556</c:v>
                </c:pt>
                <c:pt idx="39">
                  <c:v>0.605902777777778</c:v>
                </c:pt>
                <c:pt idx="40">
                  <c:v>0.60625</c:v>
                </c:pt>
                <c:pt idx="41">
                  <c:v>0.606597222222222</c:v>
                </c:pt>
                <c:pt idx="42">
                  <c:v>0.606944444444444</c:v>
                </c:pt>
                <c:pt idx="43">
                  <c:v>0.607291666666667</c:v>
                </c:pt>
                <c:pt idx="44">
                  <c:v>0.607638888888889</c:v>
                </c:pt>
                <c:pt idx="45">
                  <c:v>0.607986111111111</c:v>
                </c:pt>
                <c:pt idx="46">
                  <c:v>0.608333333333333</c:v>
                </c:pt>
                <c:pt idx="47">
                  <c:v>0.608680555555556</c:v>
                </c:pt>
                <c:pt idx="48">
                  <c:v>0.609027777777778</c:v>
                </c:pt>
                <c:pt idx="49">
                  <c:v>0.609375</c:v>
                </c:pt>
                <c:pt idx="50">
                  <c:v>0.609722222222222</c:v>
                </c:pt>
                <c:pt idx="51">
                  <c:v>0.610069444444444</c:v>
                </c:pt>
                <c:pt idx="52">
                  <c:v>0.610416666666667</c:v>
                </c:pt>
                <c:pt idx="53">
                  <c:v>0.610763888888889</c:v>
                </c:pt>
                <c:pt idx="54">
                  <c:v>0.611111111111111</c:v>
                </c:pt>
                <c:pt idx="55">
                  <c:v>0.611458333333333</c:v>
                </c:pt>
                <c:pt idx="56">
                  <c:v>0.611805555555556</c:v>
                </c:pt>
                <c:pt idx="57">
                  <c:v>0.612152777777778</c:v>
                </c:pt>
                <c:pt idx="58">
                  <c:v>0.6125</c:v>
                </c:pt>
                <c:pt idx="59">
                  <c:v>0.612847222222222</c:v>
                </c:pt>
                <c:pt idx="60">
                  <c:v>0.613194444444445</c:v>
                </c:pt>
                <c:pt idx="61">
                  <c:v>0.613541666666667</c:v>
                </c:pt>
                <c:pt idx="62">
                  <c:v>0.613888888888889</c:v>
                </c:pt>
                <c:pt idx="63">
                  <c:v>0.614236111111111</c:v>
                </c:pt>
                <c:pt idx="64">
                  <c:v>0.614583333333333</c:v>
                </c:pt>
                <c:pt idx="65">
                  <c:v>0.614930555555556</c:v>
                </c:pt>
                <c:pt idx="66">
                  <c:v>0.615277777777778</c:v>
                </c:pt>
                <c:pt idx="67">
                  <c:v>0.615625</c:v>
                </c:pt>
                <c:pt idx="68">
                  <c:v>0.615972222222222</c:v>
                </c:pt>
                <c:pt idx="69">
                  <c:v>0.616319444444444</c:v>
                </c:pt>
                <c:pt idx="70">
                  <c:v>0.616666666666667</c:v>
                </c:pt>
                <c:pt idx="71">
                  <c:v>0.617013888888889</c:v>
                </c:pt>
                <c:pt idx="72">
                  <c:v>0.617361111111111</c:v>
                </c:pt>
                <c:pt idx="73">
                  <c:v>0.617708333333333</c:v>
                </c:pt>
                <c:pt idx="74">
                  <c:v>0.618055555555556</c:v>
                </c:pt>
                <c:pt idx="75">
                  <c:v>0.618402777777778</c:v>
                </c:pt>
                <c:pt idx="76">
                  <c:v>0.61875</c:v>
                </c:pt>
                <c:pt idx="77">
                  <c:v>0.619097222222222</c:v>
                </c:pt>
                <c:pt idx="78">
                  <c:v>0.619444444444445</c:v>
                </c:pt>
                <c:pt idx="79">
                  <c:v>0.619791666666667</c:v>
                </c:pt>
                <c:pt idx="80">
                  <c:v>0.620138888888889</c:v>
                </c:pt>
                <c:pt idx="81">
                  <c:v>0.620486111111111</c:v>
                </c:pt>
                <c:pt idx="82">
                  <c:v>0.620833333333333</c:v>
                </c:pt>
                <c:pt idx="83">
                  <c:v>0.621180555555556</c:v>
                </c:pt>
                <c:pt idx="84">
                  <c:v>0.621527777777778</c:v>
                </c:pt>
                <c:pt idx="85">
                  <c:v>0.621875</c:v>
                </c:pt>
                <c:pt idx="86">
                  <c:v>0.622222222222222</c:v>
                </c:pt>
                <c:pt idx="87">
                  <c:v>0.622569444444444</c:v>
                </c:pt>
                <c:pt idx="88">
                  <c:v>0.622916666666667</c:v>
                </c:pt>
                <c:pt idx="89">
                  <c:v>0.623263888888889</c:v>
                </c:pt>
                <c:pt idx="90">
                  <c:v>0.623611111111111</c:v>
                </c:pt>
                <c:pt idx="91">
                  <c:v>0.623958333333333</c:v>
                </c:pt>
                <c:pt idx="92">
                  <c:v>0.624305555555556</c:v>
                </c:pt>
                <c:pt idx="93">
                  <c:v>0.624652777777778</c:v>
                </c:pt>
                <c:pt idx="94">
                  <c:v>0.625</c:v>
                </c:pt>
                <c:pt idx="95">
                  <c:v>0.625347222222222</c:v>
                </c:pt>
                <c:pt idx="96">
                  <c:v>0.625694444444444</c:v>
                </c:pt>
                <c:pt idx="97">
                  <c:v>0.626041666666667</c:v>
                </c:pt>
                <c:pt idx="98">
                  <c:v>0.626388888888889</c:v>
                </c:pt>
                <c:pt idx="99">
                  <c:v>0.626736111111111</c:v>
                </c:pt>
                <c:pt idx="100">
                  <c:v>0.627083333333333</c:v>
                </c:pt>
                <c:pt idx="101">
                  <c:v>0.627430555555556</c:v>
                </c:pt>
                <c:pt idx="102">
                  <c:v>0.627777777777778</c:v>
                </c:pt>
                <c:pt idx="103">
                  <c:v>0.628125</c:v>
                </c:pt>
                <c:pt idx="104">
                  <c:v>0.628472222222222</c:v>
                </c:pt>
                <c:pt idx="105">
                  <c:v>0.628819444444445</c:v>
                </c:pt>
                <c:pt idx="106">
                  <c:v>0.629166666666667</c:v>
                </c:pt>
                <c:pt idx="107">
                  <c:v>0.629513888888889</c:v>
                </c:pt>
                <c:pt idx="108">
                  <c:v>0.629861111111111</c:v>
                </c:pt>
                <c:pt idx="109">
                  <c:v>0.630208333333333</c:v>
                </c:pt>
                <c:pt idx="110">
                  <c:v>0.630555555555556</c:v>
                </c:pt>
                <c:pt idx="111">
                  <c:v>0.630902777777778</c:v>
                </c:pt>
                <c:pt idx="112">
                  <c:v>0.63125</c:v>
                </c:pt>
                <c:pt idx="113">
                  <c:v>0.631597222222222</c:v>
                </c:pt>
                <c:pt idx="114">
                  <c:v>0.631944444444444</c:v>
                </c:pt>
                <c:pt idx="115">
                  <c:v>0.632291666666667</c:v>
                </c:pt>
                <c:pt idx="116">
                  <c:v>0.632638888888889</c:v>
                </c:pt>
                <c:pt idx="117">
                  <c:v>0.632986111111111</c:v>
                </c:pt>
                <c:pt idx="118">
                  <c:v>0.633333333333333</c:v>
                </c:pt>
                <c:pt idx="119">
                  <c:v>0.633680555555556</c:v>
                </c:pt>
                <c:pt idx="120">
                  <c:v>0.634027777777778</c:v>
                </c:pt>
                <c:pt idx="121">
                  <c:v>0.634375</c:v>
                </c:pt>
                <c:pt idx="122">
                  <c:v>0.634722222222222</c:v>
                </c:pt>
                <c:pt idx="123">
                  <c:v>0.635069444444445</c:v>
                </c:pt>
                <c:pt idx="124">
                  <c:v>0.635416666666667</c:v>
                </c:pt>
                <c:pt idx="125">
                  <c:v>0.635763888888889</c:v>
                </c:pt>
                <c:pt idx="126">
                  <c:v>0.636111111111111</c:v>
                </c:pt>
                <c:pt idx="127">
                  <c:v>0.636458333333333</c:v>
                </c:pt>
                <c:pt idx="128">
                  <c:v>0.636805555555556</c:v>
                </c:pt>
                <c:pt idx="129">
                  <c:v>0.637152777777778</c:v>
                </c:pt>
                <c:pt idx="130">
                  <c:v>0.6375</c:v>
                </c:pt>
                <c:pt idx="131">
                  <c:v>0.637847222222222</c:v>
                </c:pt>
                <c:pt idx="132">
                  <c:v>0.638194444444444</c:v>
                </c:pt>
                <c:pt idx="133">
                  <c:v>0.638541666666667</c:v>
                </c:pt>
                <c:pt idx="134">
                  <c:v>0.638888888888889</c:v>
                </c:pt>
                <c:pt idx="135">
                  <c:v>0.639236111111111</c:v>
                </c:pt>
                <c:pt idx="136">
                  <c:v>0.639583333333333</c:v>
                </c:pt>
                <c:pt idx="137">
                  <c:v>0.639930555555556</c:v>
                </c:pt>
                <c:pt idx="138">
                  <c:v>0.640277777777778</c:v>
                </c:pt>
                <c:pt idx="139">
                  <c:v>0.640625</c:v>
                </c:pt>
                <c:pt idx="140">
                  <c:v>0.640972222222222</c:v>
                </c:pt>
                <c:pt idx="141">
                  <c:v>0.641319444444444</c:v>
                </c:pt>
                <c:pt idx="142">
                  <c:v>0.641666666666667</c:v>
                </c:pt>
                <c:pt idx="143">
                  <c:v>0.642013888888889</c:v>
                </c:pt>
                <c:pt idx="144">
                  <c:v>0.642361111111111</c:v>
                </c:pt>
                <c:pt idx="145">
                  <c:v>0.642708333333333</c:v>
                </c:pt>
                <c:pt idx="146">
                  <c:v>0.643055555555556</c:v>
                </c:pt>
                <c:pt idx="147">
                  <c:v>0.643402777777778</c:v>
                </c:pt>
                <c:pt idx="148">
                  <c:v>0.64375</c:v>
                </c:pt>
                <c:pt idx="149">
                  <c:v>0.644097222222222</c:v>
                </c:pt>
                <c:pt idx="150">
                  <c:v>0.644444444444445</c:v>
                </c:pt>
                <c:pt idx="151">
                  <c:v>0.644791666666667</c:v>
                </c:pt>
                <c:pt idx="152">
                  <c:v>0.645138888888889</c:v>
                </c:pt>
                <c:pt idx="153">
                  <c:v>0.645486111111111</c:v>
                </c:pt>
                <c:pt idx="154">
                  <c:v>0.645833333333333</c:v>
                </c:pt>
                <c:pt idx="155">
                  <c:v>0.646180555555556</c:v>
                </c:pt>
                <c:pt idx="156">
                  <c:v>0.646527777777778</c:v>
                </c:pt>
                <c:pt idx="157">
                  <c:v>0.646875</c:v>
                </c:pt>
                <c:pt idx="158">
                  <c:v>0.647222222222222</c:v>
                </c:pt>
                <c:pt idx="159">
                  <c:v>0.647569444444444</c:v>
                </c:pt>
                <c:pt idx="160">
                  <c:v>0.647916666666667</c:v>
                </c:pt>
                <c:pt idx="161">
                  <c:v>0.648263888888889</c:v>
                </c:pt>
                <c:pt idx="162">
                  <c:v>0.648611111111111</c:v>
                </c:pt>
                <c:pt idx="163">
                  <c:v>0.648958333333333</c:v>
                </c:pt>
                <c:pt idx="164">
                  <c:v>0.649305555555556</c:v>
                </c:pt>
                <c:pt idx="165">
                  <c:v>0.649652777777778</c:v>
                </c:pt>
                <c:pt idx="166">
                  <c:v>0.65</c:v>
                </c:pt>
                <c:pt idx="167">
                  <c:v>0.650347222222222</c:v>
                </c:pt>
                <c:pt idx="168">
                  <c:v>0.650694444444445</c:v>
                </c:pt>
                <c:pt idx="169">
                  <c:v>0.651041666666667</c:v>
                </c:pt>
                <c:pt idx="170">
                  <c:v>0.651388888888889</c:v>
                </c:pt>
                <c:pt idx="171">
                  <c:v>0.651736111111111</c:v>
                </c:pt>
                <c:pt idx="172">
                  <c:v>0.652083333333333</c:v>
                </c:pt>
                <c:pt idx="173">
                  <c:v>0.652430555555556</c:v>
                </c:pt>
                <c:pt idx="174">
                  <c:v>0.652777777777778</c:v>
                </c:pt>
                <c:pt idx="175">
                  <c:v>0.653125</c:v>
                </c:pt>
                <c:pt idx="176">
                  <c:v>0.653472222222222</c:v>
                </c:pt>
                <c:pt idx="177">
                  <c:v>0.653819444444444</c:v>
                </c:pt>
                <c:pt idx="178">
                  <c:v>0.654166666666667</c:v>
                </c:pt>
                <c:pt idx="179">
                  <c:v>0.654513888888889</c:v>
                </c:pt>
                <c:pt idx="180">
                  <c:v>0.654861111111111</c:v>
                </c:pt>
                <c:pt idx="181">
                  <c:v>0.655208333333333</c:v>
                </c:pt>
                <c:pt idx="182">
                  <c:v>0.655555555555556</c:v>
                </c:pt>
                <c:pt idx="183">
                  <c:v>0.655902777777778</c:v>
                </c:pt>
                <c:pt idx="184">
                  <c:v>0.65625</c:v>
                </c:pt>
                <c:pt idx="185">
                  <c:v>0.656597222222222</c:v>
                </c:pt>
                <c:pt idx="186">
                  <c:v>0.656944444444444</c:v>
                </c:pt>
                <c:pt idx="187">
                  <c:v>0.657291666666667</c:v>
                </c:pt>
                <c:pt idx="188">
                  <c:v>0.657638888888889</c:v>
                </c:pt>
                <c:pt idx="189">
                  <c:v>0.657986111111111</c:v>
                </c:pt>
                <c:pt idx="190">
                  <c:v>0.658333333333333</c:v>
                </c:pt>
                <c:pt idx="191">
                  <c:v>0.658680555555556</c:v>
                </c:pt>
                <c:pt idx="192">
                  <c:v>0.659027777777778</c:v>
                </c:pt>
                <c:pt idx="193">
                  <c:v>0.659375</c:v>
                </c:pt>
                <c:pt idx="194">
                  <c:v>0.659722222222222</c:v>
                </c:pt>
                <c:pt idx="195">
                  <c:v>0.660069444444445</c:v>
                </c:pt>
                <c:pt idx="196">
                  <c:v>0.660416666666667</c:v>
                </c:pt>
                <c:pt idx="197">
                  <c:v>0.660763888888889</c:v>
                </c:pt>
                <c:pt idx="198">
                  <c:v>0.661111111111111</c:v>
                </c:pt>
                <c:pt idx="199">
                  <c:v>0.661458333333333</c:v>
                </c:pt>
                <c:pt idx="200">
                  <c:v>0.661805555555556</c:v>
                </c:pt>
                <c:pt idx="201">
                  <c:v>0.662152777777778</c:v>
                </c:pt>
                <c:pt idx="202">
                  <c:v>0.6625</c:v>
                </c:pt>
                <c:pt idx="203">
                  <c:v>0.662847222222222</c:v>
                </c:pt>
                <c:pt idx="204">
                  <c:v>0.663194444444444</c:v>
                </c:pt>
                <c:pt idx="205">
                  <c:v>0.663541666666667</c:v>
                </c:pt>
                <c:pt idx="206">
                  <c:v>0.663888888888889</c:v>
                </c:pt>
                <c:pt idx="207">
                  <c:v>0.664236111111111</c:v>
                </c:pt>
                <c:pt idx="208">
                  <c:v>0.664583333333333</c:v>
                </c:pt>
                <c:pt idx="209">
                  <c:v>0.664930555555556</c:v>
                </c:pt>
                <c:pt idx="210">
                  <c:v>0.665277777777778</c:v>
                </c:pt>
                <c:pt idx="211">
                  <c:v>0.665625</c:v>
                </c:pt>
                <c:pt idx="212">
                  <c:v>0.665972222222222</c:v>
                </c:pt>
                <c:pt idx="213">
                  <c:v>0.666319444444445</c:v>
                </c:pt>
                <c:pt idx="214">
                  <c:v>0.666666666666667</c:v>
                </c:pt>
                <c:pt idx="215">
                  <c:v>0.667013888888889</c:v>
                </c:pt>
                <c:pt idx="216">
                  <c:v>0.667361111111111</c:v>
                </c:pt>
                <c:pt idx="217">
                  <c:v>0.667708333333333</c:v>
                </c:pt>
                <c:pt idx="218">
                  <c:v>0.668055555555556</c:v>
                </c:pt>
                <c:pt idx="219">
                  <c:v>0.668402777777778</c:v>
                </c:pt>
                <c:pt idx="220">
                  <c:v>0.66875</c:v>
                </c:pt>
                <c:pt idx="221">
                  <c:v>0.669097222222222</c:v>
                </c:pt>
                <c:pt idx="222">
                  <c:v>0.669444444444445</c:v>
                </c:pt>
                <c:pt idx="223">
                  <c:v>0.669791666666667</c:v>
                </c:pt>
                <c:pt idx="224">
                  <c:v>0.670138888888889</c:v>
                </c:pt>
                <c:pt idx="225">
                  <c:v>0.670486111111111</c:v>
                </c:pt>
                <c:pt idx="226">
                  <c:v>0.670833333333333</c:v>
                </c:pt>
                <c:pt idx="227">
                  <c:v>0.671180555555556</c:v>
                </c:pt>
                <c:pt idx="228">
                  <c:v>0.671527777777778</c:v>
                </c:pt>
                <c:pt idx="229">
                  <c:v>0.671875</c:v>
                </c:pt>
                <c:pt idx="230">
                  <c:v>0.672222222222222</c:v>
                </c:pt>
                <c:pt idx="231">
                  <c:v>0.672569444444444</c:v>
                </c:pt>
                <c:pt idx="232">
                  <c:v>0.672916666666667</c:v>
                </c:pt>
                <c:pt idx="233">
                  <c:v>0.673263888888889</c:v>
                </c:pt>
                <c:pt idx="234">
                  <c:v>0.673611111111111</c:v>
                </c:pt>
                <c:pt idx="235">
                  <c:v>0.673958333333333</c:v>
                </c:pt>
                <c:pt idx="236">
                  <c:v>0.674305555555556</c:v>
                </c:pt>
                <c:pt idx="237">
                  <c:v>0.674652777777778</c:v>
                </c:pt>
                <c:pt idx="238">
                  <c:v>0.675</c:v>
                </c:pt>
                <c:pt idx="239">
                  <c:v>0.675347222222222</c:v>
                </c:pt>
                <c:pt idx="240">
                  <c:v>0.675694444444445</c:v>
                </c:pt>
                <c:pt idx="241">
                  <c:v>0.676041666666667</c:v>
                </c:pt>
                <c:pt idx="242">
                  <c:v>0.676388888888889</c:v>
                </c:pt>
                <c:pt idx="243">
                  <c:v>0.676736111111111</c:v>
                </c:pt>
                <c:pt idx="244">
                  <c:v>0.677083333333333</c:v>
                </c:pt>
                <c:pt idx="245">
                  <c:v>0.677430555555556</c:v>
                </c:pt>
                <c:pt idx="246">
                  <c:v>0.677777777777778</c:v>
                </c:pt>
                <c:pt idx="247">
                  <c:v>0.678125</c:v>
                </c:pt>
                <c:pt idx="248">
                  <c:v>0.678472222222222</c:v>
                </c:pt>
                <c:pt idx="249">
                  <c:v>0.678819444444444</c:v>
                </c:pt>
                <c:pt idx="250">
                  <c:v>0.679166666666667</c:v>
                </c:pt>
                <c:pt idx="251">
                  <c:v>0.679513888888889</c:v>
                </c:pt>
                <c:pt idx="252">
                  <c:v>0.679861111111111</c:v>
                </c:pt>
                <c:pt idx="253">
                  <c:v>0.680208333333333</c:v>
                </c:pt>
                <c:pt idx="254">
                  <c:v>0.680555555555556</c:v>
                </c:pt>
                <c:pt idx="255">
                  <c:v>0.680902777777778</c:v>
                </c:pt>
                <c:pt idx="256">
                  <c:v>0.68125</c:v>
                </c:pt>
                <c:pt idx="257">
                  <c:v>0.681597222222222</c:v>
                </c:pt>
                <c:pt idx="258">
                  <c:v>0.681944444444445</c:v>
                </c:pt>
                <c:pt idx="259">
                  <c:v>0.682291666666667</c:v>
                </c:pt>
                <c:pt idx="260">
                  <c:v>0.682638888888889</c:v>
                </c:pt>
                <c:pt idx="261">
                  <c:v>0.682986111111111</c:v>
                </c:pt>
                <c:pt idx="262">
                  <c:v>0.683333333333333</c:v>
                </c:pt>
                <c:pt idx="263">
                  <c:v>0.683680555555556</c:v>
                </c:pt>
                <c:pt idx="264">
                  <c:v>0.684027777777778</c:v>
                </c:pt>
                <c:pt idx="265">
                  <c:v>0.684375</c:v>
                </c:pt>
                <c:pt idx="266">
                  <c:v>0.684722222222222</c:v>
                </c:pt>
                <c:pt idx="267">
                  <c:v>0.685069444444445</c:v>
                </c:pt>
                <c:pt idx="268">
                  <c:v>0.685416666666667</c:v>
                </c:pt>
                <c:pt idx="269">
                  <c:v>0.685763888888889</c:v>
                </c:pt>
                <c:pt idx="270">
                  <c:v>0.686111111111111</c:v>
                </c:pt>
                <c:pt idx="271">
                  <c:v>0.686458333333333</c:v>
                </c:pt>
                <c:pt idx="272">
                  <c:v>0.686805555555556</c:v>
                </c:pt>
                <c:pt idx="273">
                  <c:v>0.687152777777778</c:v>
                </c:pt>
                <c:pt idx="274">
                  <c:v>0.6875</c:v>
                </c:pt>
                <c:pt idx="275">
                  <c:v>0.687847222222222</c:v>
                </c:pt>
                <c:pt idx="276">
                  <c:v>0.688194444444444</c:v>
                </c:pt>
                <c:pt idx="277">
                  <c:v>0.688541666666667</c:v>
                </c:pt>
                <c:pt idx="278">
                  <c:v>0.688888888888889</c:v>
                </c:pt>
                <c:pt idx="279">
                  <c:v>0.689236111111111</c:v>
                </c:pt>
                <c:pt idx="280">
                  <c:v>0.689583333333333</c:v>
                </c:pt>
                <c:pt idx="281">
                  <c:v>0.689930555555556</c:v>
                </c:pt>
                <c:pt idx="282">
                  <c:v>0.690277777777778</c:v>
                </c:pt>
                <c:pt idx="283">
                  <c:v>0.690625</c:v>
                </c:pt>
                <c:pt idx="284">
                  <c:v>0.690972222222222</c:v>
                </c:pt>
                <c:pt idx="285">
                  <c:v>0.691319444444445</c:v>
                </c:pt>
                <c:pt idx="286">
                  <c:v>0.691666666666667</c:v>
                </c:pt>
                <c:pt idx="287">
                  <c:v>0.692013888888889</c:v>
                </c:pt>
                <c:pt idx="288">
                  <c:v>0.692361111111111</c:v>
                </c:pt>
                <c:pt idx="289">
                  <c:v>0.692708333333333</c:v>
                </c:pt>
                <c:pt idx="290">
                  <c:v>0.693055555555556</c:v>
                </c:pt>
                <c:pt idx="291">
                  <c:v>0.693402777777778</c:v>
                </c:pt>
                <c:pt idx="292">
                  <c:v>0.69375</c:v>
                </c:pt>
                <c:pt idx="293">
                  <c:v>0.694097222222222</c:v>
                </c:pt>
                <c:pt idx="294">
                  <c:v>0.694444444444444</c:v>
                </c:pt>
                <c:pt idx="295">
                  <c:v>0.694791666666667</c:v>
                </c:pt>
                <c:pt idx="296">
                  <c:v>0.695138888888889</c:v>
                </c:pt>
                <c:pt idx="297">
                  <c:v>0.695486111111111</c:v>
                </c:pt>
                <c:pt idx="298">
                  <c:v>0.695833333333333</c:v>
                </c:pt>
                <c:pt idx="299">
                  <c:v>0.696180555555556</c:v>
                </c:pt>
                <c:pt idx="300">
                  <c:v>0.696527777777778</c:v>
                </c:pt>
                <c:pt idx="301">
                  <c:v>0.696875</c:v>
                </c:pt>
                <c:pt idx="302">
                  <c:v>0.697222222222222</c:v>
                </c:pt>
                <c:pt idx="303">
                  <c:v>0.697569444444445</c:v>
                </c:pt>
                <c:pt idx="304">
                  <c:v>0.697916666666667</c:v>
                </c:pt>
                <c:pt idx="305">
                  <c:v>0.698263888888889</c:v>
                </c:pt>
                <c:pt idx="306">
                  <c:v>0.698611111111111</c:v>
                </c:pt>
                <c:pt idx="307">
                  <c:v>0.698958333333333</c:v>
                </c:pt>
                <c:pt idx="308">
                  <c:v>0.699305555555556</c:v>
                </c:pt>
                <c:pt idx="309">
                  <c:v>0.699652777777778</c:v>
                </c:pt>
                <c:pt idx="310">
                  <c:v>0.7</c:v>
                </c:pt>
                <c:pt idx="311">
                  <c:v>0.700347222222222</c:v>
                </c:pt>
                <c:pt idx="312">
                  <c:v>0.700694444444445</c:v>
                </c:pt>
                <c:pt idx="313">
                  <c:v>0.701041666666667</c:v>
                </c:pt>
                <c:pt idx="314">
                  <c:v>0.701388888888889</c:v>
                </c:pt>
                <c:pt idx="315">
                  <c:v>0.701736111111111</c:v>
                </c:pt>
                <c:pt idx="316">
                  <c:v>0.702083333333333</c:v>
                </c:pt>
                <c:pt idx="317">
                  <c:v>0.702430555555556</c:v>
                </c:pt>
                <c:pt idx="318">
                  <c:v>0.702777777777778</c:v>
                </c:pt>
                <c:pt idx="319">
                  <c:v>0.703125</c:v>
                </c:pt>
                <c:pt idx="320">
                  <c:v>0.703472222222222</c:v>
                </c:pt>
                <c:pt idx="321">
                  <c:v>0.703819444444444</c:v>
                </c:pt>
                <c:pt idx="322">
                  <c:v>0.704166666666667</c:v>
                </c:pt>
                <c:pt idx="323">
                  <c:v>0.704513888888889</c:v>
                </c:pt>
                <c:pt idx="324">
                  <c:v>0.704861111111111</c:v>
                </c:pt>
                <c:pt idx="325">
                  <c:v>0.705208333333333</c:v>
                </c:pt>
                <c:pt idx="326">
                  <c:v>0.705555555555556</c:v>
                </c:pt>
                <c:pt idx="327">
                  <c:v>0.705902777777778</c:v>
                </c:pt>
                <c:pt idx="328">
                  <c:v>0.70625</c:v>
                </c:pt>
                <c:pt idx="329">
                  <c:v>0.706597222222222</c:v>
                </c:pt>
                <c:pt idx="330">
                  <c:v>0.706944444444445</c:v>
                </c:pt>
                <c:pt idx="331">
                  <c:v>0.707291666666667</c:v>
                </c:pt>
                <c:pt idx="332">
                  <c:v>0.707638888888889</c:v>
                </c:pt>
                <c:pt idx="333">
                  <c:v>0.707986111111111</c:v>
                </c:pt>
                <c:pt idx="334">
                  <c:v>0.708333333333333</c:v>
                </c:pt>
                <c:pt idx="335">
                  <c:v>0.708680555555556</c:v>
                </c:pt>
                <c:pt idx="336">
                  <c:v>0.709027777777778</c:v>
                </c:pt>
                <c:pt idx="337">
                  <c:v>0.709375</c:v>
                </c:pt>
                <c:pt idx="338">
                  <c:v>0.709722222222222</c:v>
                </c:pt>
                <c:pt idx="339">
                  <c:v>0.710069444444444</c:v>
                </c:pt>
                <c:pt idx="340">
                  <c:v>0.710416666666667</c:v>
                </c:pt>
                <c:pt idx="341">
                  <c:v>0.710763888888889</c:v>
                </c:pt>
                <c:pt idx="342">
                  <c:v>0.711111111111111</c:v>
                </c:pt>
                <c:pt idx="343">
                  <c:v>0.711458333333333</c:v>
                </c:pt>
                <c:pt idx="344">
                  <c:v>0.711805555555556</c:v>
                </c:pt>
                <c:pt idx="345">
                  <c:v>0.712152777777778</c:v>
                </c:pt>
                <c:pt idx="346">
                  <c:v>0.7125</c:v>
                </c:pt>
                <c:pt idx="347">
                  <c:v>0.712847222222222</c:v>
                </c:pt>
                <c:pt idx="348">
                  <c:v>0.713194444444445</c:v>
                </c:pt>
                <c:pt idx="349">
                  <c:v>0.713541666666667</c:v>
                </c:pt>
                <c:pt idx="350">
                  <c:v>0.713888888888889</c:v>
                </c:pt>
                <c:pt idx="351">
                  <c:v>0.714236111111111</c:v>
                </c:pt>
                <c:pt idx="352">
                  <c:v>0.714583333333333</c:v>
                </c:pt>
                <c:pt idx="353">
                  <c:v>0.714930555555556</c:v>
                </c:pt>
                <c:pt idx="354">
                  <c:v>0.715277777777778</c:v>
                </c:pt>
                <c:pt idx="355">
                  <c:v>0.715625</c:v>
                </c:pt>
                <c:pt idx="356">
                  <c:v>0.715972222222222</c:v>
                </c:pt>
                <c:pt idx="357">
                  <c:v>0.716319444444445</c:v>
                </c:pt>
                <c:pt idx="358">
                  <c:v>0.716666666666667</c:v>
                </c:pt>
                <c:pt idx="359">
                  <c:v>0.717013888888889</c:v>
                </c:pt>
                <c:pt idx="360">
                  <c:v>0.717361111111111</c:v>
                </c:pt>
                <c:pt idx="361">
                  <c:v>0.717708333333333</c:v>
                </c:pt>
                <c:pt idx="362">
                  <c:v>0.718055555555556</c:v>
                </c:pt>
                <c:pt idx="363">
                  <c:v>0.718402777777778</c:v>
                </c:pt>
                <c:pt idx="364">
                  <c:v>0.71875</c:v>
                </c:pt>
                <c:pt idx="365">
                  <c:v>0.719097222222222</c:v>
                </c:pt>
                <c:pt idx="366">
                  <c:v>0.719444444444444</c:v>
                </c:pt>
                <c:pt idx="367">
                  <c:v>0.719791666666667</c:v>
                </c:pt>
                <c:pt idx="368">
                  <c:v>0.720138888888889</c:v>
                </c:pt>
                <c:pt idx="369">
                  <c:v>0.720486111111111</c:v>
                </c:pt>
                <c:pt idx="370">
                  <c:v>0.720833333333333</c:v>
                </c:pt>
                <c:pt idx="371">
                  <c:v>0.721180555555556</c:v>
                </c:pt>
                <c:pt idx="372">
                  <c:v>0.721527777777778</c:v>
                </c:pt>
                <c:pt idx="373">
                  <c:v>0.721875</c:v>
                </c:pt>
                <c:pt idx="374">
                  <c:v>0.722222222222222</c:v>
                </c:pt>
                <c:pt idx="375">
                  <c:v>0.722569444444445</c:v>
                </c:pt>
                <c:pt idx="376">
                  <c:v>0.722916666666667</c:v>
                </c:pt>
                <c:pt idx="377">
                  <c:v>0.723263888888889</c:v>
                </c:pt>
                <c:pt idx="378">
                  <c:v>0.723611111111111</c:v>
                </c:pt>
                <c:pt idx="379">
                  <c:v>0.723958333333333</c:v>
                </c:pt>
                <c:pt idx="380">
                  <c:v>0.724305555555556</c:v>
                </c:pt>
                <c:pt idx="381">
                  <c:v>0.724652777777778</c:v>
                </c:pt>
                <c:pt idx="382">
                  <c:v>0.725</c:v>
                </c:pt>
                <c:pt idx="383">
                  <c:v>0.725347222222222</c:v>
                </c:pt>
                <c:pt idx="384">
                  <c:v>0.725694444444444</c:v>
                </c:pt>
                <c:pt idx="385">
                  <c:v>0.726041666666667</c:v>
                </c:pt>
                <c:pt idx="386">
                  <c:v>0.726388888888889</c:v>
                </c:pt>
                <c:pt idx="387">
                  <c:v>0.726736111111111</c:v>
                </c:pt>
                <c:pt idx="388">
                  <c:v>0.727083333333333</c:v>
                </c:pt>
                <c:pt idx="389">
                  <c:v>0.727430555555556</c:v>
                </c:pt>
                <c:pt idx="390">
                  <c:v>0.727777777777778</c:v>
                </c:pt>
                <c:pt idx="391">
                  <c:v>0.728125</c:v>
                </c:pt>
                <c:pt idx="392">
                  <c:v>0.728472222222222</c:v>
                </c:pt>
                <c:pt idx="393">
                  <c:v>0.728819444444445</c:v>
                </c:pt>
                <c:pt idx="394">
                  <c:v>0.729166666666667</c:v>
                </c:pt>
                <c:pt idx="395">
                  <c:v>0.729513888888889</c:v>
                </c:pt>
                <c:pt idx="396">
                  <c:v>0.729861111111111</c:v>
                </c:pt>
                <c:pt idx="397">
                  <c:v>0.730208333333333</c:v>
                </c:pt>
                <c:pt idx="398">
                  <c:v>0.730555555555556</c:v>
                </c:pt>
                <c:pt idx="399">
                  <c:v>0.730902777777778</c:v>
                </c:pt>
                <c:pt idx="400">
                  <c:v>0.73125</c:v>
                </c:pt>
                <c:pt idx="401">
                  <c:v>0.731597222222222</c:v>
                </c:pt>
                <c:pt idx="402">
                  <c:v>0.731944444444445</c:v>
                </c:pt>
                <c:pt idx="403">
                  <c:v>0.732291666666667</c:v>
                </c:pt>
                <c:pt idx="404">
                  <c:v>0.732638888888889</c:v>
                </c:pt>
                <c:pt idx="405">
                  <c:v>0.732986111111111</c:v>
                </c:pt>
                <c:pt idx="406">
                  <c:v>0.733333333333333</c:v>
                </c:pt>
                <c:pt idx="407">
                  <c:v>0.733680555555556</c:v>
                </c:pt>
                <c:pt idx="408">
                  <c:v>0.734027777777778</c:v>
                </c:pt>
                <c:pt idx="409">
                  <c:v>0.734375</c:v>
                </c:pt>
                <c:pt idx="410">
                  <c:v>0.734722222222222</c:v>
                </c:pt>
                <c:pt idx="411">
                  <c:v>0.735069444444444</c:v>
                </c:pt>
                <c:pt idx="412">
                  <c:v>0.735416666666667</c:v>
                </c:pt>
                <c:pt idx="413">
                  <c:v>0.735763888888889</c:v>
                </c:pt>
                <c:pt idx="414">
                  <c:v>0.736111111111111</c:v>
                </c:pt>
                <c:pt idx="415">
                  <c:v>0.736458333333333</c:v>
                </c:pt>
                <c:pt idx="416">
                  <c:v>0.736805555555556</c:v>
                </c:pt>
                <c:pt idx="417">
                  <c:v>0.737152777777778</c:v>
                </c:pt>
                <c:pt idx="418">
                  <c:v>0.7375</c:v>
                </c:pt>
                <c:pt idx="419">
                  <c:v>0.737847222222222</c:v>
                </c:pt>
                <c:pt idx="420">
                  <c:v>0.738194444444445</c:v>
                </c:pt>
                <c:pt idx="421">
                  <c:v>0.738541666666667</c:v>
                </c:pt>
                <c:pt idx="422">
                  <c:v>0.738888888888889</c:v>
                </c:pt>
                <c:pt idx="423">
                  <c:v>0.739236111111111</c:v>
                </c:pt>
                <c:pt idx="424">
                  <c:v>0.739583333333333</c:v>
                </c:pt>
                <c:pt idx="425">
                  <c:v>0.739930555555556</c:v>
                </c:pt>
                <c:pt idx="426">
                  <c:v>0.740277777777778</c:v>
                </c:pt>
                <c:pt idx="427">
                  <c:v>0.740625</c:v>
                </c:pt>
                <c:pt idx="428">
                  <c:v>0.740972222222222</c:v>
                </c:pt>
                <c:pt idx="429">
                  <c:v>0.741319444444444</c:v>
                </c:pt>
                <c:pt idx="430">
                  <c:v>0.741666666666667</c:v>
                </c:pt>
                <c:pt idx="431">
                  <c:v>0.742013888888889</c:v>
                </c:pt>
                <c:pt idx="432">
                  <c:v>0.742361111111111</c:v>
                </c:pt>
                <c:pt idx="433">
                  <c:v>0.742708333333333</c:v>
                </c:pt>
                <c:pt idx="434">
                  <c:v>0.743055555555556</c:v>
                </c:pt>
                <c:pt idx="435">
                  <c:v>0.743402777777778</c:v>
                </c:pt>
                <c:pt idx="436">
                  <c:v>0.74375</c:v>
                </c:pt>
                <c:pt idx="437">
                  <c:v>0.744097222222222</c:v>
                </c:pt>
                <c:pt idx="438">
                  <c:v>0.744444444444445</c:v>
                </c:pt>
                <c:pt idx="439">
                  <c:v>0.744791666666667</c:v>
                </c:pt>
                <c:pt idx="440">
                  <c:v>0.745138888888889</c:v>
                </c:pt>
                <c:pt idx="441">
                  <c:v>0.745486111111111</c:v>
                </c:pt>
              </c:numCache>
            </c:numRef>
          </c:xVal>
          <c:yVal>
            <c:numRef>
              <c:f>'Flight data'!$D$2:$D$443</c:f>
              <c:numCache>
                <c:formatCode>0.0</c:formatCode>
                <c:ptCount val="442"/>
                <c:pt idx="0">
                  <c:v>1007.23</c:v>
                </c:pt>
                <c:pt idx="1">
                  <c:v>1007.26</c:v>
                </c:pt>
                <c:pt idx="2">
                  <c:v>1007.26084220716</c:v>
                </c:pt>
                <c:pt idx="3">
                  <c:v>1007.24485317844</c:v>
                </c:pt>
                <c:pt idx="4">
                  <c:v>1001.32891255244</c:v>
                </c:pt>
                <c:pt idx="5">
                  <c:v>986.858841561794</c:v>
                </c:pt>
                <c:pt idx="6">
                  <c:v>975.730477573411</c:v>
                </c:pt>
                <c:pt idx="7">
                  <c:v>965.577444336883</c:v>
                </c:pt>
                <c:pt idx="8">
                  <c:v>950.243965795418</c:v>
                </c:pt>
                <c:pt idx="9">
                  <c:v>933.039770893837</c:v>
                </c:pt>
                <c:pt idx="10">
                  <c:v>916.778928686673</c:v>
                </c:pt>
                <c:pt idx="11">
                  <c:v>905.026992578251</c:v>
                </c:pt>
                <c:pt idx="12">
                  <c:v>893.370990642143</c:v>
                </c:pt>
                <c:pt idx="13">
                  <c:v>881.619054533721</c:v>
                </c:pt>
                <c:pt idx="14">
                  <c:v>869.771184252985</c:v>
                </c:pt>
                <c:pt idx="15">
                  <c:v>859.330348499516</c:v>
                </c:pt>
                <c:pt idx="16">
                  <c:v>848.313907712165</c:v>
                </c:pt>
                <c:pt idx="17">
                  <c:v>837.169554695063</c:v>
                </c:pt>
                <c:pt idx="18">
                  <c:v>826.025201677961</c:v>
                </c:pt>
                <c:pt idx="19">
                  <c:v>815.744256211681</c:v>
                </c:pt>
                <c:pt idx="20">
                  <c:v>805.19149725718</c:v>
                </c:pt>
                <c:pt idx="21">
                  <c:v>794.46285898677</c:v>
                </c:pt>
                <c:pt idx="22">
                  <c:v>784.373781865118</c:v>
                </c:pt>
                <c:pt idx="23">
                  <c:v>775.43591481123</c:v>
                </c:pt>
                <c:pt idx="24">
                  <c:v>764.355517909003</c:v>
                </c:pt>
                <c:pt idx="25">
                  <c:v>753.962649241691</c:v>
                </c:pt>
                <c:pt idx="26">
                  <c:v>743.905550177477</c:v>
                </c:pt>
                <c:pt idx="27">
                  <c:v>731.929767666989</c:v>
                </c:pt>
                <c:pt idx="28">
                  <c:v>719.666182639561</c:v>
                </c:pt>
                <c:pt idx="29">
                  <c:v>709.433204259439</c:v>
                </c:pt>
                <c:pt idx="30">
                  <c:v>699.631929654727</c:v>
                </c:pt>
                <c:pt idx="31">
                  <c:v>689.958567279768</c:v>
                </c:pt>
                <c:pt idx="32">
                  <c:v>680.045369474024</c:v>
                </c:pt>
                <c:pt idx="33">
                  <c:v>670.244094869313</c:v>
                </c:pt>
                <c:pt idx="34">
                  <c:v>661.769909648274</c:v>
                </c:pt>
                <c:pt idx="35">
                  <c:v>653.391658599548</c:v>
                </c:pt>
                <c:pt idx="36">
                  <c:v>645.20527589545</c:v>
                </c:pt>
                <c:pt idx="37">
                  <c:v>637.082849306228</c:v>
                </c:pt>
                <c:pt idx="38">
                  <c:v>628.928444659568</c:v>
                </c:pt>
                <c:pt idx="39">
                  <c:v>620.774040012907</c:v>
                </c:pt>
                <c:pt idx="40">
                  <c:v>612.42776702162</c:v>
                </c:pt>
                <c:pt idx="41">
                  <c:v>602.706437560503</c:v>
                </c:pt>
                <c:pt idx="42">
                  <c:v>594.935769603098</c:v>
                </c:pt>
                <c:pt idx="43">
                  <c:v>587.372959019038</c:v>
                </c:pt>
                <c:pt idx="44">
                  <c:v>580.049983865763</c:v>
                </c:pt>
                <c:pt idx="45">
                  <c:v>572.854920942239</c:v>
                </c:pt>
                <c:pt idx="46">
                  <c:v>565.579912875121</c:v>
                </c:pt>
                <c:pt idx="47">
                  <c:v>558.320893836722</c:v>
                </c:pt>
                <c:pt idx="48">
                  <c:v>550.949951597289</c:v>
                </c:pt>
                <c:pt idx="49">
                  <c:v>544.010713133269</c:v>
                </c:pt>
                <c:pt idx="50">
                  <c:v>537.055485640529</c:v>
                </c:pt>
                <c:pt idx="51">
                  <c:v>530.116247176509</c:v>
                </c:pt>
                <c:pt idx="52">
                  <c:v>523.017118425298</c:v>
                </c:pt>
                <c:pt idx="53">
                  <c:v>515.74211035818</c:v>
                </c:pt>
                <c:pt idx="54">
                  <c:v>508.738915779284</c:v>
                </c:pt>
                <c:pt idx="55">
                  <c:v>501.799677315263</c:v>
                </c:pt>
                <c:pt idx="56">
                  <c:v>494.956373023556</c:v>
                </c:pt>
                <c:pt idx="57">
                  <c:v>488.177024846725</c:v>
                </c:pt>
                <c:pt idx="58">
                  <c:v>481.845369474024</c:v>
                </c:pt>
                <c:pt idx="59">
                  <c:v>475.529703130042</c:v>
                </c:pt>
                <c:pt idx="60">
                  <c:v>469.262003872217</c:v>
                </c:pt>
                <c:pt idx="61">
                  <c:v>463.02628267183</c:v>
                </c:pt>
                <c:pt idx="62">
                  <c:v>456.966440787351</c:v>
                </c:pt>
                <c:pt idx="63">
                  <c:v>450.986544046467</c:v>
                </c:pt>
                <c:pt idx="64">
                  <c:v>445.006647305582</c:v>
                </c:pt>
                <c:pt idx="65">
                  <c:v>439.60235559858</c:v>
                </c:pt>
                <c:pt idx="66">
                  <c:v>433.974217489513</c:v>
                </c:pt>
                <c:pt idx="67">
                  <c:v>428.442013552759</c:v>
                </c:pt>
                <c:pt idx="68">
                  <c:v>422.781897386254</c:v>
                </c:pt>
                <c:pt idx="69">
                  <c:v>417.345627621814</c:v>
                </c:pt>
                <c:pt idx="70">
                  <c:v>411.749467570184</c:v>
                </c:pt>
                <c:pt idx="71">
                  <c:v>405.625669570829</c:v>
                </c:pt>
                <c:pt idx="72">
                  <c:v>399.949564375605</c:v>
                </c:pt>
                <c:pt idx="73">
                  <c:v>394.305437237819</c:v>
                </c:pt>
                <c:pt idx="74">
                  <c:v>388.773233301065</c:v>
                </c:pt>
                <c:pt idx="75">
                  <c:v>383.400919651501</c:v>
                </c:pt>
                <c:pt idx="76">
                  <c:v>378.076573088093</c:v>
                </c:pt>
                <c:pt idx="77">
                  <c:v>372.704259438529</c:v>
                </c:pt>
                <c:pt idx="78">
                  <c:v>366.692384640207</c:v>
                </c:pt>
                <c:pt idx="79">
                  <c:v>359.913036463375</c:v>
                </c:pt>
                <c:pt idx="80">
                  <c:v>354.125008067119</c:v>
                </c:pt>
                <c:pt idx="81">
                  <c:v>348.768683446273</c:v>
                </c:pt>
                <c:pt idx="82">
                  <c:v>343.604227170055</c:v>
                </c:pt>
                <c:pt idx="83">
                  <c:v>338.519716037431</c:v>
                </c:pt>
                <c:pt idx="84">
                  <c:v>333.40322684737</c:v>
                </c:pt>
                <c:pt idx="85">
                  <c:v>328.238770571152</c:v>
                </c:pt>
                <c:pt idx="86">
                  <c:v>323.298160696999</c:v>
                </c:pt>
                <c:pt idx="87">
                  <c:v>318.229638593095</c:v>
                </c:pt>
                <c:pt idx="88">
                  <c:v>313.033204259439</c:v>
                </c:pt>
                <c:pt idx="89">
                  <c:v>307.948693126815</c:v>
                </c:pt>
                <c:pt idx="90">
                  <c:v>302.992094223943</c:v>
                </c:pt>
                <c:pt idx="91">
                  <c:v>297.971539206196</c:v>
                </c:pt>
                <c:pt idx="92">
                  <c:v>292.950984188448</c:v>
                </c:pt>
                <c:pt idx="93">
                  <c:v>287.994385285576</c:v>
                </c:pt>
                <c:pt idx="94">
                  <c:v>283.085753468861</c:v>
                </c:pt>
                <c:pt idx="95">
                  <c:v>277.825363020329</c:v>
                </c:pt>
                <c:pt idx="96">
                  <c:v>272.708873830268</c:v>
                </c:pt>
                <c:pt idx="97">
                  <c:v>268.247934817683</c:v>
                </c:pt>
                <c:pt idx="98">
                  <c:v>263.866940948693</c:v>
                </c:pt>
                <c:pt idx="99">
                  <c:v>259.67781542433</c:v>
                </c:pt>
                <c:pt idx="100">
                  <c:v>255.568635043562</c:v>
                </c:pt>
                <c:pt idx="101">
                  <c:v>251.52341077767</c:v>
                </c:pt>
                <c:pt idx="102">
                  <c:v>247.510164569216</c:v>
                </c:pt>
                <c:pt idx="103">
                  <c:v>243.257082929977</c:v>
                </c:pt>
                <c:pt idx="104">
                  <c:v>238.98801226202</c:v>
                </c:pt>
                <c:pt idx="105">
                  <c:v>235.038722168441</c:v>
                </c:pt>
                <c:pt idx="106">
                  <c:v>231.057454017425</c:v>
                </c:pt>
                <c:pt idx="107">
                  <c:v>227.108163923846</c:v>
                </c:pt>
                <c:pt idx="108">
                  <c:v>223.334753146176</c:v>
                </c:pt>
                <c:pt idx="109">
                  <c:v>219.561342368506</c:v>
                </c:pt>
                <c:pt idx="110">
                  <c:v>215.755953533398</c:v>
                </c:pt>
                <c:pt idx="111">
                  <c:v>211.95056469829</c:v>
                </c:pt>
                <c:pt idx="112">
                  <c:v>208.17715392062</c:v>
                </c:pt>
                <c:pt idx="113">
                  <c:v>204.531655372701</c:v>
                </c:pt>
                <c:pt idx="114">
                  <c:v>201.030058083253</c:v>
                </c:pt>
                <c:pt idx="115">
                  <c:v>197.576427879961</c:v>
                </c:pt>
                <c:pt idx="116">
                  <c:v>193.994885446918</c:v>
                </c:pt>
                <c:pt idx="117">
                  <c:v>190.605211358503</c:v>
                </c:pt>
                <c:pt idx="118">
                  <c:v>187.231526298806</c:v>
                </c:pt>
                <c:pt idx="119">
                  <c:v>183.873830267828</c:v>
                </c:pt>
                <c:pt idx="120">
                  <c:v>180.580090351726</c:v>
                </c:pt>
                <c:pt idx="121">
                  <c:v>177.270361406905</c:v>
                </c:pt>
                <c:pt idx="122">
                  <c:v>174.040577605679</c:v>
                </c:pt>
                <c:pt idx="123">
                  <c:v>170.55496934495</c:v>
                </c:pt>
                <c:pt idx="124">
                  <c:v>166.78155856728</c:v>
                </c:pt>
                <c:pt idx="125">
                  <c:v>163.631719909648</c:v>
                </c:pt>
                <c:pt idx="126">
                  <c:v>160.641771539206</c:v>
                </c:pt>
                <c:pt idx="127">
                  <c:v>157.779735398516</c:v>
                </c:pt>
                <c:pt idx="128">
                  <c:v>154.917699257825</c:v>
                </c:pt>
                <c:pt idx="129">
                  <c:v>152.167586318167</c:v>
                </c:pt>
                <c:pt idx="130">
                  <c:v>149.433462407228</c:v>
                </c:pt>
                <c:pt idx="131">
                  <c:v>146.491481122943</c:v>
                </c:pt>
                <c:pt idx="132">
                  <c:v>143.805324298161</c:v>
                </c:pt>
                <c:pt idx="133">
                  <c:v>141.215101645692</c:v>
                </c:pt>
                <c:pt idx="134">
                  <c:v>138.624878993224</c:v>
                </c:pt>
                <c:pt idx="135">
                  <c:v>136.066634398193</c:v>
                </c:pt>
                <c:pt idx="136">
                  <c:v>133.652291061633</c:v>
                </c:pt>
                <c:pt idx="137">
                  <c:v>131.221958696354</c:v>
                </c:pt>
                <c:pt idx="138">
                  <c:v>128.807615359794</c:v>
                </c:pt>
                <c:pt idx="139">
                  <c:v>126.377282994514</c:v>
                </c:pt>
                <c:pt idx="140">
                  <c:v>123.978928686673</c:v>
                </c:pt>
                <c:pt idx="141">
                  <c:v>121.724475637302</c:v>
                </c:pt>
                <c:pt idx="142">
                  <c:v>119.502000645369</c:v>
                </c:pt>
                <c:pt idx="143">
                  <c:v>117.311503710874</c:v>
                </c:pt>
                <c:pt idx="144">
                  <c:v>115.26490803485</c:v>
                </c:pt>
                <c:pt idx="145">
                  <c:v>113.202323330106</c:v>
                </c:pt>
                <c:pt idx="146">
                  <c:v>111.219683768958</c:v>
                </c:pt>
                <c:pt idx="147">
                  <c:v>109.237044207809</c:v>
                </c:pt>
                <c:pt idx="148">
                  <c:v>107.25440464666</c:v>
                </c:pt>
                <c:pt idx="149">
                  <c:v>105.28775411423</c:v>
                </c:pt>
                <c:pt idx="150">
                  <c:v>103.209180380768</c:v>
                </c:pt>
                <c:pt idx="151">
                  <c:v>101.2105517909</c:v>
                </c:pt>
                <c:pt idx="152">
                  <c:v>99.2279122297515</c:v>
                </c:pt>
                <c:pt idx="153">
                  <c:v>97.2612616973217</c:v>
                </c:pt>
                <c:pt idx="154">
                  <c:v>95.3905453372056</c:v>
                </c:pt>
                <c:pt idx="155">
                  <c:v>93.5837850919652</c:v>
                </c:pt>
                <c:pt idx="156">
                  <c:v>91.8249919328816</c:v>
                </c:pt>
                <c:pt idx="157">
                  <c:v>90.0342207163601</c:v>
                </c:pt>
                <c:pt idx="158">
                  <c:v>88.3074056147144</c:v>
                </c:pt>
                <c:pt idx="159">
                  <c:v>86.5805905130687</c:v>
                </c:pt>
                <c:pt idx="160">
                  <c:v>84.9017424975799</c:v>
                </c:pt>
                <c:pt idx="161">
                  <c:v>83.2548725395289</c:v>
                </c:pt>
                <c:pt idx="162">
                  <c:v>81.592013552759</c:v>
                </c:pt>
                <c:pt idx="163">
                  <c:v>80.0250887383027</c:v>
                </c:pt>
                <c:pt idx="164">
                  <c:v>78.4741529525654</c:v>
                </c:pt>
                <c:pt idx="165">
                  <c:v>77.0191513391417</c:v>
                </c:pt>
                <c:pt idx="166">
                  <c:v>75.5961277831559</c:v>
                </c:pt>
                <c:pt idx="167">
                  <c:v>74.2210713133269</c:v>
                </c:pt>
                <c:pt idx="168">
                  <c:v>72.81403678606</c:v>
                </c:pt>
                <c:pt idx="169">
                  <c:v>71.3910132300742</c:v>
                </c:pt>
                <c:pt idx="170">
                  <c:v>69.9839787028074</c:v>
                </c:pt>
                <c:pt idx="171">
                  <c:v>68.6249112616973</c:v>
                </c:pt>
                <c:pt idx="172">
                  <c:v>67.2498547918683</c:v>
                </c:pt>
                <c:pt idx="173">
                  <c:v>65.8747983220394</c:v>
                </c:pt>
                <c:pt idx="174">
                  <c:v>64.5317199096483</c:v>
                </c:pt>
                <c:pt idx="175">
                  <c:v>63.2685866408519</c:v>
                </c:pt>
                <c:pt idx="176">
                  <c:v>61.9894643433366</c:v>
                </c:pt>
                <c:pt idx="177">
                  <c:v>60.7423201032591</c:v>
                </c:pt>
                <c:pt idx="178">
                  <c:v>59.4791868344627</c:v>
                </c:pt>
                <c:pt idx="179">
                  <c:v>58.31198773798</c:v>
                </c:pt>
                <c:pt idx="180">
                  <c:v>57.0808325266215</c:v>
                </c:pt>
                <c:pt idx="181">
                  <c:v>55.849677315263</c:v>
                </c:pt>
                <c:pt idx="182">
                  <c:v>54.6824782187803</c:v>
                </c:pt>
                <c:pt idx="183">
                  <c:v>53.5312681510165</c:v>
                </c:pt>
                <c:pt idx="184">
                  <c:v>52.3800580832527</c:v>
                </c:pt>
                <c:pt idx="185">
                  <c:v>51.3087931590836</c:v>
                </c:pt>
                <c:pt idx="186">
                  <c:v>50.2215392061955</c:v>
                </c:pt>
                <c:pt idx="187">
                  <c:v>49.1982413681833</c:v>
                </c:pt>
                <c:pt idx="188">
                  <c:v>48.174943530171</c:v>
                </c:pt>
                <c:pt idx="189">
                  <c:v>47.1996127783156</c:v>
                </c:pt>
                <c:pt idx="190">
                  <c:v>46.2402710551791</c:v>
                </c:pt>
                <c:pt idx="191">
                  <c:v>45.2969183607615</c:v>
                </c:pt>
                <c:pt idx="192">
                  <c:v>44.4015327525008</c:v>
                </c:pt>
                <c:pt idx="193">
                  <c:v>43.4901581155211</c:v>
                </c:pt>
                <c:pt idx="194">
                  <c:v>42.5627944498225</c:v>
                </c:pt>
                <c:pt idx="195">
                  <c:v>41.6833978702807</c:v>
                </c:pt>
                <c:pt idx="196">
                  <c:v>40.78801226202</c:v>
                </c:pt>
                <c:pt idx="197">
                  <c:v>39.956582768635</c:v>
                </c:pt>
                <c:pt idx="198">
                  <c:v>39.2050984188448</c:v>
                </c:pt>
                <c:pt idx="199">
                  <c:v>38.3896579541788</c:v>
                </c:pt>
                <c:pt idx="200">
                  <c:v>37.6381736043885</c:v>
                </c:pt>
                <c:pt idx="201">
                  <c:v>36.8866892545983</c:v>
                </c:pt>
                <c:pt idx="202">
                  <c:v>36.1671829622459</c:v>
                </c:pt>
                <c:pt idx="203">
                  <c:v>35.4316876411746</c:v>
                </c:pt>
                <c:pt idx="204">
                  <c:v>34.6322362052275</c:v>
                </c:pt>
                <c:pt idx="205">
                  <c:v>33.9127299128751</c:v>
                </c:pt>
                <c:pt idx="206">
                  <c:v>33.1932236205228</c:v>
                </c:pt>
                <c:pt idx="207">
                  <c:v>32.4897063568893</c:v>
                </c:pt>
                <c:pt idx="208">
                  <c:v>31.8181671506938</c:v>
                </c:pt>
                <c:pt idx="209">
                  <c:v>31.1786060019361</c:v>
                </c:pt>
                <c:pt idx="210">
                  <c:v>30.5550338818974</c:v>
                </c:pt>
                <c:pt idx="211">
                  <c:v>29.9634398192965</c:v>
                </c:pt>
                <c:pt idx="212">
                  <c:v>29.3238786705389</c:v>
                </c:pt>
                <c:pt idx="213">
                  <c:v>28.7162955792191</c:v>
                </c:pt>
                <c:pt idx="214">
                  <c:v>28.0927234591804</c:v>
                </c:pt>
                <c:pt idx="215">
                  <c:v>27.4851403678606</c:v>
                </c:pt>
                <c:pt idx="216">
                  <c:v>26.9095353339787</c:v>
                </c:pt>
                <c:pt idx="217">
                  <c:v>26.3339303000968</c:v>
                </c:pt>
                <c:pt idx="218">
                  <c:v>25.8382704098096</c:v>
                </c:pt>
                <c:pt idx="219">
                  <c:v>25.2786544046467</c:v>
                </c:pt>
                <c:pt idx="220">
                  <c:v>24.7510164569216</c:v>
                </c:pt>
                <c:pt idx="221">
                  <c:v>24.2233785091965</c:v>
                </c:pt>
                <c:pt idx="222">
                  <c:v>23.7437076476283</c:v>
                </c:pt>
                <c:pt idx="223">
                  <c:v>23.1681026137464</c:v>
                </c:pt>
                <c:pt idx="224">
                  <c:v>22.7044207808971</c:v>
                </c:pt>
                <c:pt idx="225">
                  <c:v>22.1927718618909</c:v>
                </c:pt>
                <c:pt idx="226">
                  <c:v>21.7450790577606</c:v>
                </c:pt>
                <c:pt idx="227">
                  <c:v>21.2654081961923</c:v>
                </c:pt>
                <c:pt idx="228">
                  <c:v>20.8337044207809</c:v>
                </c:pt>
                <c:pt idx="229">
                  <c:v>20.4179896740884</c:v>
                </c:pt>
                <c:pt idx="230">
                  <c:v>19.9702968699581</c:v>
                </c:pt>
                <c:pt idx="231">
                  <c:v>19.5705711519845</c:v>
                </c:pt>
                <c:pt idx="232">
                  <c:v>19.1868344627299</c:v>
                </c:pt>
                <c:pt idx="233">
                  <c:v>18.7551306873185</c:v>
                </c:pt>
                <c:pt idx="234">
                  <c:v>18.3713939980639</c:v>
                </c:pt>
                <c:pt idx="235">
                  <c:v>17.9716682800904</c:v>
                </c:pt>
                <c:pt idx="236">
                  <c:v>17.6039206195547</c:v>
                </c:pt>
                <c:pt idx="237">
                  <c:v>17.1722168441433</c:v>
                </c:pt>
                <c:pt idx="238">
                  <c:v>16.8204582123266</c:v>
                </c:pt>
                <c:pt idx="239">
                  <c:v>16.4527105517909</c:v>
                </c:pt>
                <c:pt idx="240">
                  <c:v>16.1009519199742</c:v>
                </c:pt>
                <c:pt idx="241">
                  <c:v>15.7651823168764</c:v>
                </c:pt>
                <c:pt idx="242">
                  <c:v>15.3814456276218</c:v>
                </c:pt>
                <c:pt idx="243">
                  <c:v>15.045676024524</c:v>
                </c:pt>
                <c:pt idx="244">
                  <c:v>14.7258954501452</c:v>
                </c:pt>
                <c:pt idx="245">
                  <c:v>14.3901258470474</c:v>
                </c:pt>
                <c:pt idx="246">
                  <c:v>14.0543562439497</c:v>
                </c:pt>
                <c:pt idx="247">
                  <c:v>13.7345756695708</c:v>
                </c:pt>
                <c:pt idx="248">
                  <c:v>13.414795095192</c:v>
                </c:pt>
                <c:pt idx="249">
                  <c:v>13.14298160697</c:v>
                </c:pt>
                <c:pt idx="250">
                  <c:v>12.6792997741207</c:v>
                </c:pt>
                <c:pt idx="251">
                  <c:v>12.3595191997419</c:v>
                </c:pt>
                <c:pt idx="252">
                  <c:v>12.055727654082</c:v>
                </c:pt>
                <c:pt idx="253">
                  <c:v>11.7999031945789</c:v>
                </c:pt>
                <c:pt idx="254">
                  <c:v>11.5600677637948</c:v>
                </c:pt>
                <c:pt idx="255">
                  <c:v>11.3042433042917</c:v>
                </c:pt>
                <c:pt idx="256">
                  <c:v>11.0484188447886</c:v>
                </c:pt>
                <c:pt idx="257">
                  <c:v>10.7925943852856</c:v>
                </c:pt>
                <c:pt idx="258">
                  <c:v>10.5527589545015</c:v>
                </c:pt>
                <c:pt idx="259">
                  <c:v>10.3608906098742</c:v>
                </c:pt>
                <c:pt idx="260">
                  <c:v>10.1530332365279</c:v>
                </c:pt>
                <c:pt idx="261">
                  <c:v>9.96116489190061</c:v>
                </c:pt>
                <c:pt idx="262">
                  <c:v>9.73731848983543</c:v>
                </c:pt>
                <c:pt idx="263">
                  <c:v>9.51347208777025</c:v>
                </c:pt>
                <c:pt idx="264">
                  <c:v>9.32160374314295</c:v>
                </c:pt>
                <c:pt idx="265">
                  <c:v>9.09775734107777</c:v>
                </c:pt>
                <c:pt idx="266">
                  <c:v>8.90588899645047</c:v>
                </c:pt>
                <c:pt idx="267">
                  <c:v>8.71402065182317</c:v>
                </c:pt>
                <c:pt idx="268">
                  <c:v>8.52215230719587</c:v>
                </c:pt>
                <c:pt idx="269">
                  <c:v>8.36226202000646</c:v>
                </c:pt>
                <c:pt idx="270">
                  <c:v>8.20237173281704</c:v>
                </c:pt>
                <c:pt idx="271">
                  <c:v>8.02649241690868</c:v>
                </c:pt>
                <c:pt idx="272">
                  <c:v>7.86660212971926</c:v>
                </c:pt>
                <c:pt idx="273">
                  <c:v>7.70671184252985</c:v>
                </c:pt>
                <c:pt idx="274">
                  <c:v>7.56281058405937</c:v>
                </c:pt>
                <c:pt idx="275">
                  <c:v>7.38693126815102</c:v>
                </c:pt>
                <c:pt idx="276">
                  <c:v>7.25901903839948</c:v>
                </c:pt>
                <c:pt idx="277">
                  <c:v>7.14709583736689</c:v>
                </c:pt>
                <c:pt idx="278">
                  <c:v>6.98720555017748</c:v>
                </c:pt>
                <c:pt idx="279">
                  <c:v>6.843304291707</c:v>
                </c:pt>
                <c:pt idx="280">
                  <c:v>6.74737011939335</c:v>
                </c:pt>
                <c:pt idx="281">
                  <c:v>6.60346886092288</c:v>
                </c:pt>
                <c:pt idx="282">
                  <c:v>6.50753468860923</c:v>
                </c:pt>
                <c:pt idx="283">
                  <c:v>6.3796224588577</c:v>
                </c:pt>
                <c:pt idx="284">
                  <c:v>6.26769925782511</c:v>
                </c:pt>
                <c:pt idx="285">
                  <c:v>6.17176508551146</c:v>
                </c:pt>
                <c:pt idx="286">
                  <c:v>6.05984188447886</c:v>
                </c:pt>
                <c:pt idx="287">
                  <c:v>5.97989674088416</c:v>
                </c:pt>
                <c:pt idx="288">
                  <c:v>5.86797353985156</c:v>
                </c:pt>
                <c:pt idx="289">
                  <c:v>5.75605033881897</c:v>
                </c:pt>
                <c:pt idx="290">
                  <c:v>5.64412713778638</c:v>
                </c:pt>
                <c:pt idx="291">
                  <c:v>5.53220393675379</c:v>
                </c:pt>
                <c:pt idx="292">
                  <c:v>5.43626976444014</c:v>
                </c:pt>
                <c:pt idx="293">
                  <c:v>5.34033559212649</c:v>
                </c:pt>
                <c:pt idx="294">
                  <c:v>5.29236850596967</c:v>
                </c:pt>
                <c:pt idx="295">
                  <c:v>5.19643433365602</c:v>
                </c:pt>
                <c:pt idx="296">
                  <c:v>5.10050016134237</c:v>
                </c:pt>
                <c:pt idx="297">
                  <c:v>5.0365440464666</c:v>
                </c:pt>
                <c:pt idx="298">
                  <c:v>4.95659890287189</c:v>
                </c:pt>
                <c:pt idx="299">
                  <c:v>4.89264278799613</c:v>
                </c:pt>
                <c:pt idx="300">
                  <c:v>4.79670861568248</c:v>
                </c:pt>
                <c:pt idx="301">
                  <c:v>4.73275250080671</c:v>
                </c:pt>
                <c:pt idx="302">
                  <c:v>4.66879638593095</c:v>
                </c:pt>
                <c:pt idx="303">
                  <c:v>4.94060987415295</c:v>
                </c:pt>
                <c:pt idx="304">
                  <c:v>5.96390771216521</c:v>
                </c:pt>
                <c:pt idx="305">
                  <c:v>7.14709583736689</c:v>
                </c:pt>
                <c:pt idx="306">
                  <c:v>8.33028396256857</c:v>
                </c:pt>
                <c:pt idx="307">
                  <c:v>9.70534043239755</c:v>
                </c:pt>
                <c:pt idx="308">
                  <c:v>11.2083091319781</c:v>
                </c:pt>
                <c:pt idx="309">
                  <c:v>12.9031461761859</c:v>
                </c:pt>
                <c:pt idx="310">
                  <c:v>14.6779283639884</c:v>
                </c:pt>
                <c:pt idx="311">
                  <c:v>16.5486447241046</c:v>
                </c:pt>
                <c:pt idx="312">
                  <c:v>18.5472733139722</c:v>
                </c:pt>
                <c:pt idx="313">
                  <c:v>20.6898031623104</c:v>
                </c:pt>
                <c:pt idx="314">
                  <c:v>22.9282671829622</c:v>
                </c:pt>
                <c:pt idx="315">
                  <c:v>25.2946434333656</c:v>
                </c:pt>
                <c:pt idx="316">
                  <c:v>27.7729428848015</c:v>
                </c:pt>
                <c:pt idx="317">
                  <c:v>30.3631655372701</c:v>
                </c:pt>
                <c:pt idx="318">
                  <c:v>33.0333333333333</c:v>
                </c:pt>
                <c:pt idx="319">
                  <c:v>35.8314133591481</c:v>
                </c:pt>
                <c:pt idx="320">
                  <c:v>38.7094385285576</c:v>
                </c:pt>
                <c:pt idx="321">
                  <c:v>41.7153759277186</c:v>
                </c:pt>
                <c:pt idx="322">
                  <c:v>44.897192642788</c:v>
                </c:pt>
                <c:pt idx="323">
                  <c:v>48.1429654727331</c:v>
                </c:pt>
                <c:pt idx="324">
                  <c:v>51.5965956760245</c:v>
                </c:pt>
                <c:pt idx="325">
                  <c:v>55.0981929654727</c:v>
                </c:pt>
                <c:pt idx="326">
                  <c:v>58.7436915133914</c:v>
                </c:pt>
                <c:pt idx="327">
                  <c:v>62.4851242336237</c:v>
                </c:pt>
                <c:pt idx="328">
                  <c:v>66.2745240400129</c:v>
                </c:pt>
                <c:pt idx="329">
                  <c:v>70.2078251048725</c:v>
                </c:pt>
                <c:pt idx="330">
                  <c:v>74.0611810261375</c:v>
                </c:pt>
                <c:pt idx="331">
                  <c:v>78.0424491771539</c:v>
                </c:pt>
                <c:pt idx="332">
                  <c:v>81.8798160696999</c:v>
                </c:pt>
                <c:pt idx="333">
                  <c:v>85.8131171345595</c:v>
                </c:pt>
                <c:pt idx="334">
                  <c:v>89.8743304291707</c:v>
                </c:pt>
                <c:pt idx="335">
                  <c:v>93.5837850919652</c:v>
                </c:pt>
                <c:pt idx="336">
                  <c:v>97.3731848983543</c:v>
                </c:pt>
                <c:pt idx="337">
                  <c:v>101.130606647306</c:v>
                </c:pt>
                <c:pt idx="338">
                  <c:v>105.511600516296</c:v>
                </c:pt>
                <c:pt idx="339">
                  <c:v>110.036495643756</c:v>
                </c:pt>
                <c:pt idx="340">
                  <c:v>115.041061632785</c:v>
                </c:pt>
                <c:pt idx="341">
                  <c:v>120.813101000323</c:v>
                </c:pt>
                <c:pt idx="342">
                  <c:v>127.112778315586</c:v>
                </c:pt>
                <c:pt idx="343">
                  <c:v>133.636302032914</c:v>
                </c:pt>
                <c:pt idx="344">
                  <c:v>140.415650209745</c:v>
                </c:pt>
                <c:pt idx="345">
                  <c:v>147.354888673766</c:v>
                </c:pt>
                <c:pt idx="346">
                  <c:v>154.501984511133</c:v>
                </c:pt>
                <c:pt idx="347">
                  <c:v>161.761003549532</c:v>
                </c:pt>
                <c:pt idx="348">
                  <c:v>169.052000645369</c:v>
                </c:pt>
                <c:pt idx="349">
                  <c:v>176.486898999677</c:v>
                </c:pt>
                <c:pt idx="350">
                  <c:v>184.113665698612</c:v>
                </c:pt>
                <c:pt idx="351">
                  <c:v>191.836366569861</c:v>
                </c:pt>
                <c:pt idx="352">
                  <c:v>199.734946757018</c:v>
                </c:pt>
                <c:pt idx="353">
                  <c:v>207.87336237496</c:v>
                </c:pt>
                <c:pt idx="354">
                  <c:v>216.091723136496</c:v>
                </c:pt>
                <c:pt idx="355">
                  <c:v>224.422007099064</c:v>
                </c:pt>
                <c:pt idx="356">
                  <c:v>232.832236205228</c:v>
                </c:pt>
                <c:pt idx="357">
                  <c:v>241.386366569861</c:v>
                </c:pt>
                <c:pt idx="358">
                  <c:v>250.100387221684</c:v>
                </c:pt>
                <c:pt idx="359">
                  <c:v>258.830396902227</c:v>
                </c:pt>
                <c:pt idx="360">
                  <c:v>267.656340755082</c:v>
                </c:pt>
                <c:pt idx="361">
                  <c:v>276.482284607938</c:v>
                </c:pt>
                <c:pt idx="362">
                  <c:v>285.356195546951</c:v>
                </c:pt>
                <c:pt idx="363">
                  <c:v>294.182139399806</c:v>
                </c:pt>
                <c:pt idx="364">
                  <c:v>303.151984511133</c:v>
                </c:pt>
                <c:pt idx="365">
                  <c:v>312.185785737335</c:v>
                </c:pt>
                <c:pt idx="366">
                  <c:v>321.363488222007</c:v>
                </c:pt>
                <c:pt idx="367">
                  <c:v>330.605146821555</c:v>
                </c:pt>
                <c:pt idx="368">
                  <c:v>340.022684737012</c:v>
                </c:pt>
                <c:pt idx="369">
                  <c:v>349.504178767344</c:v>
                </c:pt>
                <c:pt idx="370">
                  <c:v>358.953694740239</c:v>
                </c:pt>
                <c:pt idx="371">
                  <c:v>368.45117779929</c:v>
                </c:pt>
                <c:pt idx="372">
                  <c:v>378.028606001936</c:v>
                </c:pt>
                <c:pt idx="373">
                  <c:v>387.558067118425</c:v>
                </c:pt>
                <c:pt idx="374">
                  <c:v>397.087528234915</c:v>
                </c:pt>
                <c:pt idx="375">
                  <c:v>406.760890609874</c:v>
                </c:pt>
                <c:pt idx="376">
                  <c:v>416.402274927396</c:v>
                </c:pt>
                <c:pt idx="377">
                  <c:v>425.915747015166</c:v>
                </c:pt>
                <c:pt idx="378">
                  <c:v>435.493175217812</c:v>
                </c:pt>
                <c:pt idx="379">
                  <c:v>445.070603420458</c:v>
                </c:pt>
                <c:pt idx="380">
                  <c:v>454.600064536947</c:v>
                </c:pt>
                <c:pt idx="381">
                  <c:v>464.22545982575</c:v>
                </c:pt>
                <c:pt idx="382">
                  <c:v>473.882833171991</c:v>
                </c:pt>
                <c:pt idx="383">
                  <c:v>483.57218457567</c:v>
                </c:pt>
                <c:pt idx="384">
                  <c:v>493.197579864472</c:v>
                </c:pt>
                <c:pt idx="385">
                  <c:v>503.04682155534</c:v>
                </c:pt>
                <c:pt idx="386">
                  <c:v>512.336447241046</c:v>
                </c:pt>
                <c:pt idx="387">
                  <c:v>521.977831558567</c:v>
                </c:pt>
                <c:pt idx="388">
                  <c:v>531.699161019684</c:v>
                </c:pt>
                <c:pt idx="389">
                  <c:v>541.388512423362</c:v>
                </c:pt>
                <c:pt idx="390">
                  <c:v>551.429622458858</c:v>
                </c:pt>
                <c:pt idx="391">
                  <c:v>561.470732494353</c:v>
                </c:pt>
                <c:pt idx="392">
                  <c:v>570.792336237496</c:v>
                </c:pt>
                <c:pt idx="393">
                  <c:v>580.002016779606</c:v>
                </c:pt>
                <c:pt idx="394">
                  <c:v>588.684059373992</c:v>
                </c:pt>
                <c:pt idx="395">
                  <c:v>597.286156824782</c:v>
                </c:pt>
                <c:pt idx="396">
                  <c:v>605.552484672475</c:v>
                </c:pt>
                <c:pt idx="397">
                  <c:v>613.515020974508</c:v>
                </c:pt>
                <c:pt idx="398">
                  <c:v>621.285688931914</c:v>
                </c:pt>
                <c:pt idx="399">
                  <c:v>629.056356889319</c:v>
                </c:pt>
                <c:pt idx="400">
                  <c:v>636.811035818006</c:v>
                </c:pt>
                <c:pt idx="401">
                  <c:v>644.661648919006</c:v>
                </c:pt>
                <c:pt idx="402">
                  <c:v>652.784075508229</c:v>
                </c:pt>
                <c:pt idx="403">
                  <c:v>661.242271700549</c:v>
                </c:pt>
                <c:pt idx="404">
                  <c:v>669.940303323653</c:v>
                </c:pt>
                <c:pt idx="405">
                  <c:v>678.75025814779</c:v>
                </c:pt>
                <c:pt idx="406">
                  <c:v>687.672136172959</c:v>
                </c:pt>
                <c:pt idx="407">
                  <c:v>696.72192642788</c:v>
                </c:pt>
                <c:pt idx="408">
                  <c:v>705.819683768958</c:v>
                </c:pt>
                <c:pt idx="409">
                  <c:v>714.933430138754</c:v>
                </c:pt>
                <c:pt idx="410">
                  <c:v>724.111132623427</c:v>
                </c:pt>
                <c:pt idx="411">
                  <c:v>733.464714424008</c:v>
                </c:pt>
                <c:pt idx="412">
                  <c:v>742.866263310745</c:v>
                </c:pt>
                <c:pt idx="413">
                  <c:v>752.507647628267</c:v>
                </c:pt>
                <c:pt idx="414">
                  <c:v>762.548757663763</c:v>
                </c:pt>
                <c:pt idx="415">
                  <c:v>772.781736043885</c:v>
                </c:pt>
                <c:pt idx="416">
                  <c:v>782.902791222975</c:v>
                </c:pt>
                <c:pt idx="417">
                  <c:v>792.911923201033</c:v>
                </c:pt>
                <c:pt idx="418">
                  <c:v>802.825121006776</c:v>
                </c:pt>
                <c:pt idx="419">
                  <c:v>812.834252984834</c:v>
                </c:pt>
                <c:pt idx="420">
                  <c:v>822.491626331075</c:v>
                </c:pt>
                <c:pt idx="421">
                  <c:v>831.62136172959</c:v>
                </c:pt>
                <c:pt idx="422">
                  <c:v>840.271426266538</c:v>
                </c:pt>
                <c:pt idx="423">
                  <c:v>848.761600516296</c:v>
                </c:pt>
                <c:pt idx="424">
                  <c:v>857.395676024524</c:v>
                </c:pt>
                <c:pt idx="425">
                  <c:v>866.637334624072</c:v>
                </c:pt>
                <c:pt idx="426">
                  <c:v>876.630477573411</c:v>
                </c:pt>
                <c:pt idx="427">
                  <c:v>887.007357212004</c:v>
                </c:pt>
                <c:pt idx="428">
                  <c:v>897.847918683446</c:v>
                </c:pt>
                <c:pt idx="429">
                  <c:v>908.608535011294</c:v>
                </c:pt>
                <c:pt idx="430">
                  <c:v>919.513052597612</c:v>
                </c:pt>
                <c:pt idx="431">
                  <c:v>930.593449499839</c:v>
                </c:pt>
                <c:pt idx="432">
                  <c:v>942.185495321071</c:v>
                </c:pt>
                <c:pt idx="433">
                  <c:v>953.521716682801</c:v>
                </c:pt>
                <c:pt idx="434">
                  <c:v>964.522168441433</c:v>
                </c:pt>
                <c:pt idx="435">
                  <c:v>975.330751855437</c:v>
                </c:pt>
                <c:pt idx="436">
                  <c:v>986.203291384318</c:v>
                </c:pt>
                <c:pt idx="437">
                  <c:v>996.484236850597</c:v>
                </c:pt>
                <c:pt idx="438">
                  <c:v>1007.05298483382</c:v>
                </c:pt>
                <c:pt idx="439">
                  <c:v>1012.48925459826</c:v>
                </c:pt>
                <c:pt idx="440">
                  <c:v>1012.55321071313</c:v>
                </c:pt>
                <c:pt idx="441">
                  <c:v>1012.58518877057</c:v>
                </c:pt>
              </c:numCache>
            </c:numRef>
          </c:yVal>
          <c:smooth val="0"/>
        </c:ser>
        <c:axId val="4584"/>
        <c:axId val="4425192"/>
      </c:scatterChart>
      <c:valAx>
        <c:axId val="15238683"/>
        <c:scaling>
          <c:orientation val="minMax"/>
          <c:max val="0.745486111111111"/>
          <c:min val="0.592361111111111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Time hh:mm:ss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hh:mm:ss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5287156"/>
        <c:crossesAt val="0"/>
        <c:crossBetween val="midCat"/>
        <c:majorUnit val="0.00694444444444444"/>
      </c:valAx>
      <c:valAx>
        <c:axId val="528715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Altitude (m)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15238683"/>
        <c:crosses val="autoZero"/>
        <c:crossBetween val="midCat"/>
      </c:valAx>
      <c:valAx>
        <c:axId val="4584"/>
        <c:scaling>
          <c:orientation val="minMax"/>
        </c:scaling>
        <c:delete val="1"/>
        <c:axPos val="t"/>
        <c:numFmt formatCode="hh:mm:ss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4425192"/>
        <c:crossBetween val="midCat"/>
      </c:valAx>
      <c:valAx>
        <c:axId val="4425192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Pressure hPa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4584"/>
        <c:crosses val="max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196264870165864"/>
          <c:y val="0.184725897920605"/>
          <c:w val="0.132184888282449"/>
          <c:h val="0.114186327888687"/>
        </c:manualLayout>
      </c:layout>
      <c:overlay val="0"/>
      <c:spPr>
        <a:solidFill>
          <a:srgbClr val="FDE9A9"/>
        </a:solidFill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Altitude=f(absolute pressure) - upward trajectory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IRM balloon flight 27/9/2026</a:t>
            </a:r>
          </a:p>
        </c:rich>
      </c:tx>
      <c:layout>
        <c:manualLayout>
          <c:xMode val="edge"/>
          <c:yMode val="edge"/>
          <c:x val="0.294829607776391"/>
          <c:y val="0.0078762627703898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940277620182306"/>
          <c:y val="0.0766508760915473"/>
          <c:w val="0.889178864556148"/>
          <c:h val="0.859425831858912"/>
        </c:manualLayout>
      </c:layout>
      <c:scatterChart>
        <c:scatterStyle val="line"/>
        <c:varyColors val="0"/>
        <c:ser>
          <c:idx val="0"/>
          <c:order val="0"/>
          <c:tx>
            <c:strRef>
              <c:f>"Measured altitude"</c:f>
              <c:strCache>
                <c:ptCount val="1"/>
                <c:pt idx="0">
                  <c:v>Measured altitude</c:v>
                </c:pt>
              </c:strCache>
            </c:strRef>
          </c:tx>
          <c:spPr>
            <a:solidFill>
              <a:srgbClr val="1C99E0"/>
            </a:solidFill>
            <a:ln w="14400">
              <a:solidFill>
                <a:srgbClr val="1C99E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44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'Flight data'!$D$2:$D$301</c:f>
              <c:numCache>
                <c:formatCode>0.0</c:formatCode>
                <c:ptCount val="300"/>
                <c:pt idx="0">
                  <c:v>1007.23</c:v>
                </c:pt>
                <c:pt idx="1">
                  <c:v>1007.26</c:v>
                </c:pt>
                <c:pt idx="2">
                  <c:v>1007.26084220716</c:v>
                </c:pt>
                <c:pt idx="3">
                  <c:v>1007.24485317844</c:v>
                </c:pt>
                <c:pt idx="4">
                  <c:v>1001.32891255244</c:v>
                </c:pt>
                <c:pt idx="5">
                  <c:v>986.858841561794</c:v>
                </c:pt>
                <c:pt idx="6">
                  <c:v>975.730477573411</c:v>
                </c:pt>
                <c:pt idx="7">
                  <c:v>965.577444336883</c:v>
                </c:pt>
                <c:pt idx="8">
                  <c:v>950.243965795418</c:v>
                </c:pt>
                <c:pt idx="9">
                  <c:v>933.039770893837</c:v>
                </c:pt>
                <c:pt idx="10">
                  <c:v>916.778928686673</c:v>
                </c:pt>
                <c:pt idx="11">
                  <c:v>905.026992578251</c:v>
                </c:pt>
                <c:pt idx="12">
                  <c:v>893.370990642143</c:v>
                </c:pt>
                <c:pt idx="13">
                  <c:v>881.619054533721</c:v>
                </c:pt>
                <c:pt idx="14">
                  <c:v>869.771184252985</c:v>
                </c:pt>
                <c:pt idx="15">
                  <c:v>859.330348499516</c:v>
                </c:pt>
                <c:pt idx="16">
                  <c:v>848.313907712165</c:v>
                </c:pt>
                <c:pt idx="17">
                  <c:v>837.169554695063</c:v>
                </c:pt>
                <c:pt idx="18">
                  <c:v>826.025201677961</c:v>
                </c:pt>
                <c:pt idx="19">
                  <c:v>815.744256211681</c:v>
                </c:pt>
                <c:pt idx="20">
                  <c:v>805.19149725718</c:v>
                </c:pt>
                <c:pt idx="21">
                  <c:v>794.46285898677</c:v>
                </c:pt>
                <c:pt idx="22">
                  <c:v>784.373781865118</c:v>
                </c:pt>
                <c:pt idx="23">
                  <c:v>775.43591481123</c:v>
                </c:pt>
                <c:pt idx="24">
                  <c:v>764.355517909003</c:v>
                </c:pt>
                <c:pt idx="25">
                  <c:v>753.962649241691</c:v>
                </c:pt>
                <c:pt idx="26">
                  <c:v>743.905550177477</c:v>
                </c:pt>
                <c:pt idx="27">
                  <c:v>731.929767666989</c:v>
                </c:pt>
                <c:pt idx="28">
                  <c:v>719.666182639561</c:v>
                </c:pt>
                <c:pt idx="29">
                  <c:v>709.433204259439</c:v>
                </c:pt>
                <c:pt idx="30">
                  <c:v>699.631929654727</c:v>
                </c:pt>
                <c:pt idx="31">
                  <c:v>689.958567279768</c:v>
                </c:pt>
                <c:pt idx="32">
                  <c:v>680.045369474024</c:v>
                </c:pt>
                <c:pt idx="33">
                  <c:v>670.244094869313</c:v>
                </c:pt>
                <c:pt idx="34">
                  <c:v>661.769909648274</c:v>
                </c:pt>
                <c:pt idx="35">
                  <c:v>653.391658599548</c:v>
                </c:pt>
                <c:pt idx="36">
                  <c:v>645.20527589545</c:v>
                </c:pt>
                <c:pt idx="37">
                  <c:v>637.082849306228</c:v>
                </c:pt>
                <c:pt idx="38">
                  <c:v>628.928444659568</c:v>
                </c:pt>
                <c:pt idx="39">
                  <c:v>620.774040012907</c:v>
                </c:pt>
                <c:pt idx="40">
                  <c:v>612.42776702162</c:v>
                </c:pt>
                <c:pt idx="41">
                  <c:v>602.706437560503</c:v>
                </c:pt>
                <c:pt idx="42">
                  <c:v>594.935769603098</c:v>
                </c:pt>
                <c:pt idx="43">
                  <c:v>587.372959019038</c:v>
                </c:pt>
                <c:pt idx="44">
                  <c:v>580.049983865763</c:v>
                </c:pt>
                <c:pt idx="45">
                  <c:v>572.854920942239</c:v>
                </c:pt>
                <c:pt idx="46">
                  <c:v>565.579912875121</c:v>
                </c:pt>
                <c:pt idx="47">
                  <c:v>558.320893836722</c:v>
                </c:pt>
                <c:pt idx="48">
                  <c:v>550.949951597289</c:v>
                </c:pt>
                <c:pt idx="49">
                  <c:v>544.010713133269</c:v>
                </c:pt>
                <c:pt idx="50">
                  <c:v>537.055485640529</c:v>
                </c:pt>
                <c:pt idx="51">
                  <c:v>530.116247176509</c:v>
                </c:pt>
                <c:pt idx="52">
                  <c:v>523.017118425298</c:v>
                </c:pt>
                <c:pt idx="53">
                  <c:v>515.74211035818</c:v>
                </c:pt>
                <c:pt idx="54">
                  <c:v>508.738915779284</c:v>
                </c:pt>
                <c:pt idx="55">
                  <c:v>501.799677315263</c:v>
                </c:pt>
                <c:pt idx="56">
                  <c:v>494.956373023556</c:v>
                </c:pt>
                <c:pt idx="57">
                  <c:v>488.177024846725</c:v>
                </c:pt>
                <c:pt idx="58">
                  <c:v>481.845369474024</c:v>
                </c:pt>
                <c:pt idx="59">
                  <c:v>475.529703130042</c:v>
                </c:pt>
                <c:pt idx="60">
                  <c:v>469.262003872217</c:v>
                </c:pt>
                <c:pt idx="61">
                  <c:v>463.02628267183</c:v>
                </c:pt>
                <c:pt idx="62">
                  <c:v>456.966440787351</c:v>
                </c:pt>
                <c:pt idx="63">
                  <c:v>450.986544046467</c:v>
                </c:pt>
                <c:pt idx="64">
                  <c:v>445.006647305582</c:v>
                </c:pt>
                <c:pt idx="65">
                  <c:v>439.60235559858</c:v>
                </c:pt>
                <c:pt idx="66">
                  <c:v>433.974217489513</c:v>
                </c:pt>
                <c:pt idx="67">
                  <c:v>428.442013552759</c:v>
                </c:pt>
                <c:pt idx="68">
                  <c:v>422.781897386254</c:v>
                </c:pt>
                <c:pt idx="69">
                  <c:v>417.345627621814</c:v>
                </c:pt>
                <c:pt idx="70">
                  <c:v>411.749467570184</c:v>
                </c:pt>
                <c:pt idx="71">
                  <c:v>405.625669570829</c:v>
                </c:pt>
                <c:pt idx="72">
                  <c:v>399.949564375605</c:v>
                </c:pt>
                <c:pt idx="73">
                  <c:v>394.305437237819</c:v>
                </c:pt>
                <c:pt idx="74">
                  <c:v>388.773233301065</c:v>
                </c:pt>
                <c:pt idx="75">
                  <c:v>383.400919651501</c:v>
                </c:pt>
                <c:pt idx="76">
                  <c:v>378.076573088093</c:v>
                </c:pt>
                <c:pt idx="77">
                  <c:v>372.704259438529</c:v>
                </c:pt>
                <c:pt idx="78">
                  <c:v>366.692384640207</c:v>
                </c:pt>
                <c:pt idx="79">
                  <c:v>359.913036463375</c:v>
                </c:pt>
                <c:pt idx="80">
                  <c:v>354.125008067119</c:v>
                </c:pt>
                <c:pt idx="81">
                  <c:v>348.768683446273</c:v>
                </c:pt>
                <c:pt idx="82">
                  <c:v>343.604227170055</c:v>
                </c:pt>
                <c:pt idx="83">
                  <c:v>338.519716037431</c:v>
                </c:pt>
                <c:pt idx="84">
                  <c:v>333.40322684737</c:v>
                </c:pt>
                <c:pt idx="85">
                  <c:v>328.238770571152</c:v>
                </c:pt>
                <c:pt idx="86">
                  <c:v>323.298160696999</c:v>
                </c:pt>
                <c:pt idx="87">
                  <c:v>318.229638593095</c:v>
                </c:pt>
                <c:pt idx="88">
                  <c:v>313.033204259439</c:v>
                </c:pt>
                <c:pt idx="89">
                  <c:v>307.948693126815</c:v>
                </c:pt>
                <c:pt idx="90">
                  <c:v>302.992094223943</c:v>
                </c:pt>
                <c:pt idx="91">
                  <c:v>297.971539206196</c:v>
                </c:pt>
                <c:pt idx="92">
                  <c:v>292.950984188448</c:v>
                </c:pt>
                <c:pt idx="93">
                  <c:v>287.994385285576</c:v>
                </c:pt>
                <c:pt idx="94">
                  <c:v>283.085753468861</c:v>
                </c:pt>
                <c:pt idx="95">
                  <c:v>277.825363020329</c:v>
                </c:pt>
                <c:pt idx="96">
                  <c:v>272.708873830268</c:v>
                </c:pt>
                <c:pt idx="97">
                  <c:v>268.247934817683</c:v>
                </c:pt>
                <c:pt idx="98">
                  <c:v>263.866940948693</c:v>
                </c:pt>
                <c:pt idx="99">
                  <c:v>259.67781542433</c:v>
                </c:pt>
                <c:pt idx="100">
                  <c:v>255.568635043562</c:v>
                </c:pt>
                <c:pt idx="101">
                  <c:v>251.52341077767</c:v>
                </c:pt>
                <c:pt idx="102">
                  <c:v>247.510164569216</c:v>
                </c:pt>
                <c:pt idx="103">
                  <c:v>243.257082929977</c:v>
                </c:pt>
                <c:pt idx="104">
                  <c:v>238.98801226202</c:v>
                </c:pt>
                <c:pt idx="105">
                  <c:v>235.038722168441</c:v>
                </c:pt>
                <c:pt idx="106">
                  <c:v>231.057454017425</c:v>
                </c:pt>
                <c:pt idx="107">
                  <c:v>227.108163923846</c:v>
                </c:pt>
                <c:pt idx="108">
                  <c:v>223.334753146176</c:v>
                </c:pt>
                <c:pt idx="109">
                  <c:v>219.561342368506</c:v>
                </c:pt>
                <c:pt idx="110">
                  <c:v>215.755953533398</c:v>
                </c:pt>
                <c:pt idx="111">
                  <c:v>211.95056469829</c:v>
                </c:pt>
                <c:pt idx="112">
                  <c:v>208.17715392062</c:v>
                </c:pt>
                <c:pt idx="113">
                  <c:v>204.531655372701</c:v>
                </c:pt>
                <c:pt idx="114">
                  <c:v>201.030058083253</c:v>
                </c:pt>
                <c:pt idx="115">
                  <c:v>197.576427879961</c:v>
                </c:pt>
                <c:pt idx="116">
                  <c:v>193.994885446918</c:v>
                </c:pt>
                <c:pt idx="117">
                  <c:v>190.605211358503</c:v>
                </c:pt>
                <c:pt idx="118">
                  <c:v>187.231526298806</c:v>
                </c:pt>
                <c:pt idx="119">
                  <c:v>183.873830267828</c:v>
                </c:pt>
                <c:pt idx="120">
                  <c:v>180.580090351726</c:v>
                </c:pt>
                <c:pt idx="121">
                  <c:v>177.270361406905</c:v>
                </c:pt>
                <c:pt idx="122">
                  <c:v>174.040577605679</c:v>
                </c:pt>
                <c:pt idx="123">
                  <c:v>170.55496934495</c:v>
                </c:pt>
                <c:pt idx="124">
                  <c:v>166.78155856728</c:v>
                </c:pt>
                <c:pt idx="125">
                  <c:v>163.631719909648</c:v>
                </c:pt>
                <c:pt idx="126">
                  <c:v>160.641771539206</c:v>
                </c:pt>
                <c:pt idx="127">
                  <c:v>157.779735398516</c:v>
                </c:pt>
                <c:pt idx="128">
                  <c:v>154.917699257825</c:v>
                </c:pt>
                <c:pt idx="129">
                  <c:v>152.167586318167</c:v>
                </c:pt>
                <c:pt idx="130">
                  <c:v>149.433462407228</c:v>
                </c:pt>
                <c:pt idx="131">
                  <c:v>146.491481122943</c:v>
                </c:pt>
                <c:pt idx="132">
                  <c:v>143.805324298161</c:v>
                </c:pt>
                <c:pt idx="133">
                  <c:v>141.215101645692</c:v>
                </c:pt>
                <c:pt idx="134">
                  <c:v>138.624878993224</c:v>
                </c:pt>
                <c:pt idx="135">
                  <c:v>136.066634398193</c:v>
                </c:pt>
                <c:pt idx="136">
                  <c:v>133.652291061633</c:v>
                </c:pt>
                <c:pt idx="137">
                  <c:v>131.221958696354</c:v>
                </c:pt>
                <c:pt idx="138">
                  <c:v>128.807615359794</c:v>
                </c:pt>
                <c:pt idx="139">
                  <c:v>126.377282994514</c:v>
                </c:pt>
                <c:pt idx="140">
                  <c:v>123.978928686673</c:v>
                </c:pt>
                <c:pt idx="141">
                  <c:v>121.724475637302</c:v>
                </c:pt>
                <c:pt idx="142">
                  <c:v>119.502000645369</c:v>
                </c:pt>
                <c:pt idx="143">
                  <c:v>117.311503710874</c:v>
                </c:pt>
                <c:pt idx="144">
                  <c:v>115.26490803485</c:v>
                </c:pt>
                <c:pt idx="145">
                  <c:v>113.202323330106</c:v>
                </c:pt>
                <c:pt idx="146">
                  <c:v>111.219683768958</c:v>
                </c:pt>
                <c:pt idx="147">
                  <c:v>109.237044207809</c:v>
                </c:pt>
                <c:pt idx="148">
                  <c:v>107.25440464666</c:v>
                </c:pt>
                <c:pt idx="149">
                  <c:v>105.28775411423</c:v>
                </c:pt>
                <c:pt idx="150">
                  <c:v>103.209180380768</c:v>
                </c:pt>
                <c:pt idx="151">
                  <c:v>101.2105517909</c:v>
                </c:pt>
                <c:pt idx="152">
                  <c:v>99.2279122297515</c:v>
                </c:pt>
                <c:pt idx="153">
                  <c:v>97.2612616973217</c:v>
                </c:pt>
                <c:pt idx="154">
                  <c:v>95.3905453372056</c:v>
                </c:pt>
                <c:pt idx="155">
                  <c:v>93.5837850919652</c:v>
                </c:pt>
                <c:pt idx="156">
                  <c:v>91.8249919328816</c:v>
                </c:pt>
                <c:pt idx="157">
                  <c:v>90.0342207163601</c:v>
                </c:pt>
                <c:pt idx="158">
                  <c:v>88.3074056147144</c:v>
                </c:pt>
                <c:pt idx="159">
                  <c:v>86.5805905130687</c:v>
                </c:pt>
                <c:pt idx="160">
                  <c:v>84.9017424975799</c:v>
                </c:pt>
                <c:pt idx="161">
                  <c:v>83.2548725395289</c:v>
                </c:pt>
                <c:pt idx="162">
                  <c:v>81.592013552759</c:v>
                </c:pt>
                <c:pt idx="163">
                  <c:v>80.0250887383027</c:v>
                </c:pt>
                <c:pt idx="164">
                  <c:v>78.4741529525654</c:v>
                </c:pt>
                <c:pt idx="165">
                  <c:v>77.0191513391417</c:v>
                </c:pt>
                <c:pt idx="166">
                  <c:v>75.5961277831559</c:v>
                </c:pt>
                <c:pt idx="167">
                  <c:v>74.2210713133269</c:v>
                </c:pt>
                <c:pt idx="168">
                  <c:v>72.81403678606</c:v>
                </c:pt>
                <c:pt idx="169">
                  <c:v>71.3910132300742</c:v>
                </c:pt>
                <c:pt idx="170">
                  <c:v>69.9839787028074</c:v>
                </c:pt>
                <c:pt idx="171">
                  <c:v>68.6249112616973</c:v>
                </c:pt>
                <c:pt idx="172">
                  <c:v>67.2498547918683</c:v>
                </c:pt>
                <c:pt idx="173">
                  <c:v>65.8747983220394</c:v>
                </c:pt>
                <c:pt idx="174">
                  <c:v>64.5317199096483</c:v>
                </c:pt>
                <c:pt idx="175">
                  <c:v>63.2685866408519</c:v>
                </c:pt>
                <c:pt idx="176">
                  <c:v>61.9894643433366</c:v>
                </c:pt>
                <c:pt idx="177">
                  <c:v>60.7423201032591</c:v>
                </c:pt>
                <c:pt idx="178">
                  <c:v>59.4791868344627</c:v>
                </c:pt>
                <c:pt idx="179">
                  <c:v>58.31198773798</c:v>
                </c:pt>
                <c:pt idx="180">
                  <c:v>57.0808325266215</c:v>
                </c:pt>
                <c:pt idx="181">
                  <c:v>55.849677315263</c:v>
                </c:pt>
                <c:pt idx="182">
                  <c:v>54.6824782187803</c:v>
                </c:pt>
                <c:pt idx="183">
                  <c:v>53.5312681510165</c:v>
                </c:pt>
                <c:pt idx="184">
                  <c:v>52.3800580832527</c:v>
                </c:pt>
                <c:pt idx="185">
                  <c:v>51.3087931590836</c:v>
                </c:pt>
                <c:pt idx="186">
                  <c:v>50.2215392061955</c:v>
                </c:pt>
                <c:pt idx="187">
                  <c:v>49.1982413681833</c:v>
                </c:pt>
                <c:pt idx="188">
                  <c:v>48.174943530171</c:v>
                </c:pt>
                <c:pt idx="189">
                  <c:v>47.1996127783156</c:v>
                </c:pt>
                <c:pt idx="190">
                  <c:v>46.2402710551791</c:v>
                </c:pt>
                <c:pt idx="191">
                  <c:v>45.2969183607615</c:v>
                </c:pt>
                <c:pt idx="192">
                  <c:v>44.4015327525008</c:v>
                </c:pt>
                <c:pt idx="193">
                  <c:v>43.4901581155211</c:v>
                </c:pt>
                <c:pt idx="194">
                  <c:v>42.5627944498225</c:v>
                </c:pt>
                <c:pt idx="195">
                  <c:v>41.6833978702807</c:v>
                </c:pt>
                <c:pt idx="196">
                  <c:v>40.78801226202</c:v>
                </c:pt>
                <c:pt idx="197">
                  <c:v>39.956582768635</c:v>
                </c:pt>
                <c:pt idx="198">
                  <c:v>39.2050984188448</c:v>
                </c:pt>
                <c:pt idx="199">
                  <c:v>38.3896579541788</c:v>
                </c:pt>
                <c:pt idx="200">
                  <c:v>37.6381736043885</c:v>
                </c:pt>
                <c:pt idx="201">
                  <c:v>36.8866892545983</c:v>
                </c:pt>
                <c:pt idx="202">
                  <c:v>36.1671829622459</c:v>
                </c:pt>
                <c:pt idx="203">
                  <c:v>35.4316876411746</c:v>
                </c:pt>
                <c:pt idx="204">
                  <c:v>34.6322362052275</c:v>
                </c:pt>
                <c:pt idx="205">
                  <c:v>33.9127299128751</c:v>
                </c:pt>
                <c:pt idx="206">
                  <c:v>33.1932236205228</c:v>
                </c:pt>
                <c:pt idx="207">
                  <c:v>32.4897063568893</c:v>
                </c:pt>
                <c:pt idx="208">
                  <c:v>31.8181671506938</c:v>
                </c:pt>
                <c:pt idx="209">
                  <c:v>31.1786060019361</c:v>
                </c:pt>
                <c:pt idx="210">
                  <c:v>30.5550338818974</c:v>
                </c:pt>
                <c:pt idx="211">
                  <c:v>29.9634398192965</c:v>
                </c:pt>
                <c:pt idx="212">
                  <c:v>29.3238786705389</c:v>
                </c:pt>
                <c:pt idx="213">
                  <c:v>28.7162955792191</c:v>
                </c:pt>
                <c:pt idx="214">
                  <c:v>28.0927234591804</c:v>
                </c:pt>
                <c:pt idx="215">
                  <c:v>27.4851403678606</c:v>
                </c:pt>
                <c:pt idx="216">
                  <c:v>26.9095353339787</c:v>
                </c:pt>
                <c:pt idx="217">
                  <c:v>26.3339303000968</c:v>
                </c:pt>
                <c:pt idx="218">
                  <c:v>25.8382704098096</c:v>
                </c:pt>
                <c:pt idx="219">
                  <c:v>25.2786544046467</c:v>
                </c:pt>
                <c:pt idx="220">
                  <c:v>24.7510164569216</c:v>
                </c:pt>
                <c:pt idx="221">
                  <c:v>24.2233785091965</c:v>
                </c:pt>
                <c:pt idx="222">
                  <c:v>23.7437076476283</c:v>
                </c:pt>
                <c:pt idx="223">
                  <c:v>23.1681026137464</c:v>
                </c:pt>
                <c:pt idx="224">
                  <c:v>22.7044207808971</c:v>
                </c:pt>
                <c:pt idx="225">
                  <c:v>22.1927718618909</c:v>
                </c:pt>
                <c:pt idx="226">
                  <c:v>21.7450790577606</c:v>
                </c:pt>
                <c:pt idx="227">
                  <c:v>21.2654081961923</c:v>
                </c:pt>
                <c:pt idx="228">
                  <c:v>20.8337044207809</c:v>
                </c:pt>
                <c:pt idx="229">
                  <c:v>20.4179896740884</c:v>
                </c:pt>
                <c:pt idx="230">
                  <c:v>19.9702968699581</c:v>
                </c:pt>
                <c:pt idx="231">
                  <c:v>19.5705711519845</c:v>
                </c:pt>
                <c:pt idx="232">
                  <c:v>19.1868344627299</c:v>
                </c:pt>
                <c:pt idx="233">
                  <c:v>18.7551306873185</c:v>
                </c:pt>
                <c:pt idx="234">
                  <c:v>18.3713939980639</c:v>
                </c:pt>
                <c:pt idx="235">
                  <c:v>17.9716682800904</c:v>
                </c:pt>
                <c:pt idx="236">
                  <c:v>17.6039206195547</c:v>
                </c:pt>
                <c:pt idx="237">
                  <c:v>17.1722168441433</c:v>
                </c:pt>
                <c:pt idx="238">
                  <c:v>16.8204582123266</c:v>
                </c:pt>
                <c:pt idx="239">
                  <c:v>16.4527105517909</c:v>
                </c:pt>
                <c:pt idx="240">
                  <c:v>16.1009519199742</c:v>
                </c:pt>
                <c:pt idx="241">
                  <c:v>15.7651823168764</c:v>
                </c:pt>
                <c:pt idx="242">
                  <c:v>15.3814456276218</c:v>
                </c:pt>
                <c:pt idx="243">
                  <c:v>15.045676024524</c:v>
                </c:pt>
                <c:pt idx="244">
                  <c:v>14.7258954501452</c:v>
                </c:pt>
                <c:pt idx="245">
                  <c:v>14.3901258470474</c:v>
                </c:pt>
                <c:pt idx="246">
                  <c:v>14.0543562439497</c:v>
                </c:pt>
                <c:pt idx="247">
                  <c:v>13.7345756695708</c:v>
                </c:pt>
                <c:pt idx="248">
                  <c:v>13.414795095192</c:v>
                </c:pt>
                <c:pt idx="249">
                  <c:v>13.14298160697</c:v>
                </c:pt>
                <c:pt idx="250">
                  <c:v>12.6792997741207</c:v>
                </c:pt>
                <c:pt idx="251">
                  <c:v>12.3595191997419</c:v>
                </c:pt>
                <c:pt idx="252">
                  <c:v>12.055727654082</c:v>
                </c:pt>
                <c:pt idx="253">
                  <c:v>11.7999031945789</c:v>
                </c:pt>
                <c:pt idx="254">
                  <c:v>11.5600677637948</c:v>
                </c:pt>
                <c:pt idx="255">
                  <c:v>11.3042433042917</c:v>
                </c:pt>
                <c:pt idx="256">
                  <c:v>11.0484188447886</c:v>
                </c:pt>
                <c:pt idx="257">
                  <c:v>10.7925943852856</c:v>
                </c:pt>
                <c:pt idx="258">
                  <c:v>10.5527589545015</c:v>
                </c:pt>
                <c:pt idx="259">
                  <c:v>10.3608906098742</c:v>
                </c:pt>
                <c:pt idx="260">
                  <c:v>10.1530332365279</c:v>
                </c:pt>
                <c:pt idx="261">
                  <c:v>9.96116489190061</c:v>
                </c:pt>
                <c:pt idx="262">
                  <c:v>9.73731848983543</c:v>
                </c:pt>
                <c:pt idx="263">
                  <c:v>9.51347208777025</c:v>
                </c:pt>
                <c:pt idx="264">
                  <c:v>9.32160374314295</c:v>
                </c:pt>
                <c:pt idx="265">
                  <c:v>9.09775734107777</c:v>
                </c:pt>
                <c:pt idx="266">
                  <c:v>8.90588899645047</c:v>
                </c:pt>
                <c:pt idx="267">
                  <c:v>8.71402065182317</c:v>
                </c:pt>
                <c:pt idx="268">
                  <c:v>8.52215230719587</c:v>
                </c:pt>
                <c:pt idx="269">
                  <c:v>8.36226202000646</c:v>
                </c:pt>
                <c:pt idx="270">
                  <c:v>8.20237173281704</c:v>
                </c:pt>
                <c:pt idx="271">
                  <c:v>8.02649241690868</c:v>
                </c:pt>
                <c:pt idx="272">
                  <c:v>7.86660212971926</c:v>
                </c:pt>
                <c:pt idx="273">
                  <c:v>7.70671184252985</c:v>
                </c:pt>
                <c:pt idx="274">
                  <c:v>7.56281058405937</c:v>
                </c:pt>
                <c:pt idx="275">
                  <c:v>7.38693126815102</c:v>
                </c:pt>
                <c:pt idx="276">
                  <c:v>7.25901903839948</c:v>
                </c:pt>
                <c:pt idx="277">
                  <c:v>7.14709583736689</c:v>
                </c:pt>
                <c:pt idx="278">
                  <c:v>6.98720555017748</c:v>
                </c:pt>
                <c:pt idx="279">
                  <c:v>6.843304291707</c:v>
                </c:pt>
                <c:pt idx="280">
                  <c:v>6.74737011939335</c:v>
                </c:pt>
                <c:pt idx="281">
                  <c:v>6.60346886092288</c:v>
                </c:pt>
                <c:pt idx="282">
                  <c:v>6.50753468860923</c:v>
                </c:pt>
                <c:pt idx="283">
                  <c:v>6.3796224588577</c:v>
                </c:pt>
                <c:pt idx="284">
                  <c:v>6.26769925782511</c:v>
                </c:pt>
                <c:pt idx="285">
                  <c:v>6.17176508551146</c:v>
                </c:pt>
                <c:pt idx="286">
                  <c:v>6.05984188447886</c:v>
                </c:pt>
                <c:pt idx="287">
                  <c:v>5.97989674088416</c:v>
                </c:pt>
                <c:pt idx="288">
                  <c:v>5.86797353985156</c:v>
                </c:pt>
                <c:pt idx="289">
                  <c:v>5.75605033881897</c:v>
                </c:pt>
                <c:pt idx="290">
                  <c:v>5.64412713778638</c:v>
                </c:pt>
                <c:pt idx="291">
                  <c:v>5.53220393675379</c:v>
                </c:pt>
                <c:pt idx="292">
                  <c:v>5.43626976444014</c:v>
                </c:pt>
                <c:pt idx="293">
                  <c:v>5.34033559212649</c:v>
                </c:pt>
                <c:pt idx="294">
                  <c:v>5.29236850596967</c:v>
                </c:pt>
                <c:pt idx="295">
                  <c:v>5.19643433365602</c:v>
                </c:pt>
                <c:pt idx="296">
                  <c:v>5.10050016134237</c:v>
                </c:pt>
                <c:pt idx="297">
                  <c:v>5.0365440464666</c:v>
                </c:pt>
                <c:pt idx="298">
                  <c:v>4.95659890287189</c:v>
                </c:pt>
                <c:pt idx="299">
                  <c:v>4.89264278799613</c:v>
                </c:pt>
              </c:numCache>
            </c:numRef>
          </c:xVal>
          <c:yVal>
            <c:numRef>
              <c:f>'Flight data'!$G$2:$G$301</c:f>
              <c:numCache>
                <c:formatCode>General</c:formatCode>
                <c:ptCount val="300"/>
                <c:pt idx="0">
                  <c:v>105</c:v>
                </c:pt>
                <c:pt idx="1">
                  <c:v>132</c:v>
                </c:pt>
                <c:pt idx="2">
                  <c:v>253</c:v>
                </c:pt>
                <c:pt idx="3">
                  <c:v>354</c:v>
                </c:pt>
                <c:pt idx="4">
                  <c:v>441</c:v>
                </c:pt>
                <c:pt idx="5">
                  <c:v>564</c:v>
                </c:pt>
                <c:pt idx="6">
                  <c:v>724</c:v>
                </c:pt>
                <c:pt idx="7">
                  <c:v>876</c:v>
                </c:pt>
                <c:pt idx="8">
                  <c:v>986</c:v>
                </c:pt>
                <c:pt idx="9">
                  <c:v>1093</c:v>
                </c:pt>
                <c:pt idx="10">
                  <c:v>1208</c:v>
                </c:pt>
                <c:pt idx="11">
                  <c:v>1327</c:v>
                </c:pt>
                <c:pt idx="12">
                  <c:v>1427</c:v>
                </c:pt>
                <c:pt idx="13">
                  <c:v>1531</c:v>
                </c:pt>
                <c:pt idx="14">
                  <c:v>1627</c:v>
                </c:pt>
                <c:pt idx="15">
                  <c:v>1734</c:v>
                </c:pt>
                <c:pt idx="16">
                  <c:v>1860</c:v>
                </c:pt>
                <c:pt idx="17">
                  <c:v>1986</c:v>
                </c:pt>
                <c:pt idx="18">
                  <c:v>2113</c:v>
                </c:pt>
                <c:pt idx="19">
                  <c:v>2185</c:v>
                </c:pt>
                <c:pt idx="20">
                  <c:v>2282</c:v>
                </c:pt>
                <c:pt idx="21">
                  <c:v>2398</c:v>
                </c:pt>
                <c:pt idx="22">
                  <c:v>2507</c:v>
                </c:pt>
                <c:pt idx="23">
                  <c:v>2631</c:v>
                </c:pt>
                <c:pt idx="24">
                  <c:v>2754</c:v>
                </c:pt>
                <c:pt idx="25">
                  <c:v>2894</c:v>
                </c:pt>
                <c:pt idx="26">
                  <c:v>3008</c:v>
                </c:pt>
                <c:pt idx="27">
                  <c:v>3127</c:v>
                </c:pt>
                <c:pt idx="28">
                  <c:v>3234</c:v>
                </c:pt>
                <c:pt idx="29">
                  <c:v>3356</c:v>
                </c:pt>
                <c:pt idx="30">
                  <c:v>3479</c:v>
                </c:pt>
                <c:pt idx="31">
                  <c:v>3580</c:v>
                </c:pt>
                <c:pt idx="32">
                  <c:v>3683</c:v>
                </c:pt>
                <c:pt idx="33">
                  <c:v>3780</c:v>
                </c:pt>
                <c:pt idx="34">
                  <c:v>3882</c:v>
                </c:pt>
                <c:pt idx="35">
                  <c:v>3987</c:v>
                </c:pt>
                <c:pt idx="36">
                  <c:v>4095</c:v>
                </c:pt>
                <c:pt idx="37">
                  <c:v>4198</c:v>
                </c:pt>
                <c:pt idx="38">
                  <c:v>4320</c:v>
                </c:pt>
                <c:pt idx="39">
                  <c:v>4425</c:v>
                </c:pt>
                <c:pt idx="40">
                  <c:v>4524</c:v>
                </c:pt>
                <c:pt idx="41">
                  <c:v>4623</c:v>
                </c:pt>
                <c:pt idx="42">
                  <c:v>4723</c:v>
                </c:pt>
                <c:pt idx="43">
                  <c:v>4828</c:v>
                </c:pt>
                <c:pt idx="44">
                  <c:v>4926</c:v>
                </c:pt>
                <c:pt idx="45">
                  <c:v>5029</c:v>
                </c:pt>
                <c:pt idx="46">
                  <c:v>5125</c:v>
                </c:pt>
                <c:pt idx="47">
                  <c:v>5221</c:v>
                </c:pt>
                <c:pt idx="48">
                  <c:v>5325</c:v>
                </c:pt>
                <c:pt idx="49">
                  <c:v>5431</c:v>
                </c:pt>
                <c:pt idx="50">
                  <c:v>5536</c:v>
                </c:pt>
                <c:pt idx="51">
                  <c:v>5640</c:v>
                </c:pt>
                <c:pt idx="52">
                  <c:v>5743</c:v>
                </c:pt>
                <c:pt idx="53">
                  <c:v>5845</c:v>
                </c:pt>
                <c:pt idx="54">
                  <c:v>5957</c:v>
                </c:pt>
                <c:pt idx="55">
                  <c:v>6056</c:v>
                </c:pt>
                <c:pt idx="56">
                  <c:v>6157</c:v>
                </c:pt>
                <c:pt idx="57">
                  <c:v>6256</c:v>
                </c:pt>
                <c:pt idx="58">
                  <c:v>6355</c:v>
                </c:pt>
                <c:pt idx="59">
                  <c:v>6452</c:v>
                </c:pt>
                <c:pt idx="60">
                  <c:v>6553</c:v>
                </c:pt>
                <c:pt idx="61">
                  <c:v>6658</c:v>
                </c:pt>
                <c:pt idx="62">
                  <c:v>6748</c:v>
                </c:pt>
                <c:pt idx="63">
                  <c:v>6842</c:v>
                </c:pt>
                <c:pt idx="64">
                  <c:v>6934</c:v>
                </c:pt>
                <c:pt idx="65">
                  <c:v>7031</c:v>
                </c:pt>
                <c:pt idx="66">
                  <c:v>7124</c:v>
                </c:pt>
                <c:pt idx="67">
                  <c:v>7226</c:v>
                </c:pt>
                <c:pt idx="68">
                  <c:v>7337</c:v>
                </c:pt>
                <c:pt idx="69">
                  <c:v>7441</c:v>
                </c:pt>
                <c:pt idx="70">
                  <c:v>7541</c:v>
                </c:pt>
                <c:pt idx="71">
                  <c:v>7643</c:v>
                </c:pt>
                <c:pt idx="72">
                  <c:v>7742</c:v>
                </c:pt>
                <c:pt idx="73">
                  <c:v>7841</c:v>
                </c:pt>
                <c:pt idx="74">
                  <c:v>7946</c:v>
                </c:pt>
                <c:pt idx="75">
                  <c:v>8063</c:v>
                </c:pt>
                <c:pt idx="76">
                  <c:v>8194</c:v>
                </c:pt>
                <c:pt idx="77">
                  <c:v>8311</c:v>
                </c:pt>
                <c:pt idx="78">
                  <c:v>8418</c:v>
                </c:pt>
                <c:pt idx="79">
                  <c:v>8526</c:v>
                </c:pt>
                <c:pt idx="80">
                  <c:v>8637</c:v>
                </c:pt>
                <c:pt idx="81">
                  <c:v>8741</c:v>
                </c:pt>
                <c:pt idx="82">
                  <c:v>8846</c:v>
                </c:pt>
                <c:pt idx="83">
                  <c:v>8951</c:v>
                </c:pt>
                <c:pt idx="84">
                  <c:v>9057</c:v>
                </c:pt>
                <c:pt idx="85">
                  <c:v>9174</c:v>
                </c:pt>
                <c:pt idx="86">
                  <c:v>9287</c:v>
                </c:pt>
                <c:pt idx="87">
                  <c:v>9395</c:v>
                </c:pt>
                <c:pt idx="88">
                  <c:v>9511</c:v>
                </c:pt>
                <c:pt idx="89">
                  <c:v>9626</c:v>
                </c:pt>
                <c:pt idx="90">
                  <c:v>9740</c:v>
                </c:pt>
                <c:pt idx="91">
                  <c:v>9852</c:v>
                </c:pt>
                <c:pt idx="92">
                  <c:v>9975</c:v>
                </c:pt>
                <c:pt idx="93">
                  <c:v>10109</c:v>
                </c:pt>
                <c:pt idx="94">
                  <c:v>10222</c:v>
                </c:pt>
                <c:pt idx="95">
                  <c:v>10330</c:v>
                </c:pt>
                <c:pt idx="96">
                  <c:v>10436</c:v>
                </c:pt>
                <c:pt idx="97">
                  <c:v>10539</c:v>
                </c:pt>
                <c:pt idx="98">
                  <c:v>10647</c:v>
                </c:pt>
                <c:pt idx="99">
                  <c:v>10758</c:v>
                </c:pt>
                <c:pt idx="100">
                  <c:v>10868</c:v>
                </c:pt>
                <c:pt idx="101">
                  <c:v>10982</c:v>
                </c:pt>
                <c:pt idx="102">
                  <c:v>11089</c:v>
                </c:pt>
                <c:pt idx="103">
                  <c:v>11195</c:v>
                </c:pt>
                <c:pt idx="104">
                  <c:v>11306</c:v>
                </c:pt>
                <c:pt idx="105">
                  <c:v>11411</c:v>
                </c:pt>
                <c:pt idx="106">
                  <c:v>11524</c:v>
                </c:pt>
                <c:pt idx="107">
                  <c:v>11639</c:v>
                </c:pt>
                <c:pt idx="108">
                  <c:v>11750</c:v>
                </c:pt>
                <c:pt idx="109">
                  <c:v>11861</c:v>
                </c:pt>
                <c:pt idx="110">
                  <c:v>11979</c:v>
                </c:pt>
                <c:pt idx="111">
                  <c:v>12091</c:v>
                </c:pt>
                <c:pt idx="112">
                  <c:v>12197</c:v>
                </c:pt>
                <c:pt idx="113">
                  <c:v>12309</c:v>
                </c:pt>
                <c:pt idx="114">
                  <c:v>12417</c:v>
                </c:pt>
                <c:pt idx="115">
                  <c:v>12526</c:v>
                </c:pt>
                <c:pt idx="116">
                  <c:v>12636</c:v>
                </c:pt>
                <c:pt idx="117">
                  <c:v>12747</c:v>
                </c:pt>
                <c:pt idx="118">
                  <c:v>12859</c:v>
                </c:pt>
                <c:pt idx="119">
                  <c:v>12977</c:v>
                </c:pt>
                <c:pt idx="120">
                  <c:v>13101</c:v>
                </c:pt>
                <c:pt idx="121">
                  <c:v>13242</c:v>
                </c:pt>
                <c:pt idx="122">
                  <c:v>13358</c:v>
                </c:pt>
                <c:pt idx="123">
                  <c:v>13476</c:v>
                </c:pt>
                <c:pt idx="124">
                  <c:v>13593</c:v>
                </c:pt>
                <c:pt idx="125">
                  <c:v>13703</c:v>
                </c:pt>
                <c:pt idx="126">
                  <c:v>13812</c:v>
                </c:pt>
                <c:pt idx="127">
                  <c:v>13922</c:v>
                </c:pt>
                <c:pt idx="128">
                  <c:v>14042</c:v>
                </c:pt>
                <c:pt idx="129">
                  <c:v>14163</c:v>
                </c:pt>
                <c:pt idx="130">
                  <c:v>14282</c:v>
                </c:pt>
                <c:pt idx="131">
                  <c:v>14394</c:v>
                </c:pt>
                <c:pt idx="132">
                  <c:v>14508</c:v>
                </c:pt>
                <c:pt idx="133">
                  <c:v>14618</c:v>
                </c:pt>
                <c:pt idx="134">
                  <c:v>14728</c:v>
                </c:pt>
                <c:pt idx="135">
                  <c:v>14843</c:v>
                </c:pt>
                <c:pt idx="136">
                  <c:v>14966</c:v>
                </c:pt>
                <c:pt idx="137">
                  <c:v>15090</c:v>
                </c:pt>
                <c:pt idx="138">
                  <c:v>15206</c:v>
                </c:pt>
                <c:pt idx="139">
                  <c:v>15319</c:v>
                </c:pt>
                <c:pt idx="140">
                  <c:v>15436</c:v>
                </c:pt>
                <c:pt idx="141">
                  <c:v>15543</c:v>
                </c:pt>
                <c:pt idx="142">
                  <c:v>15658</c:v>
                </c:pt>
                <c:pt idx="143">
                  <c:v>15767</c:v>
                </c:pt>
                <c:pt idx="144">
                  <c:v>15885</c:v>
                </c:pt>
                <c:pt idx="145">
                  <c:v>16004</c:v>
                </c:pt>
                <c:pt idx="146">
                  <c:v>16120</c:v>
                </c:pt>
                <c:pt idx="147">
                  <c:v>16242</c:v>
                </c:pt>
                <c:pt idx="148">
                  <c:v>16363</c:v>
                </c:pt>
                <c:pt idx="149">
                  <c:v>16487</c:v>
                </c:pt>
                <c:pt idx="150">
                  <c:v>16620</c:v>
                </c:pt>
                <c:pt idx="151">
                  <c:v>16749</c:v>
                </c:pt>
                <c:pt idx="152">
                  <c:v>16867</c:v>
                </c:pt>
                <c:pt idx="153">
                  <c:v>16984</c:v>
                </c:pt>
                <c:pt idx="154">
                  <c:v>17107</c:v>
                </c:pt>
                <c:pt idx="155">
                  <c:v>17226</c:v>
                </c:pt>
                <c:pt idx="156">
                  <c:v>17354</c:v>
                </c:pt>
                <c:pt idx="157">
                  <c:v>17487</c:v>
                </c:pt>
                <c:pt idx="158">
                  <c:v>17609</c:v>
                </c:pt>
                <c:pt idx="159">
                  <c:v>17733</c:v>
                </c:pt>
                <c:pt idx="160">
                  <c:v>17858</c:v>
                </c:pt>
                <c:pt idx="161">
                  <c:v>17988</c:v>
                </c:pt>
                <c:pt idx="162">
                  <c:v>18114</c:v>
                </c:pt>
                <c:pt idx="163">
                  <c:v>18231</c:v>
                </c:pt>
                <c:pt idx="164">
                  <c:v>18348</c:v>
                </c:pt>
                <c:pt idx="165">
                  <c:v>18473</c:v>
                </c:pt>
                <c:pt idx="166">
                  <c:v>18596</c:v>
                </c:pt>
                <c:pt idx="167">
                  <c:v>18730</c:v>
                </c:pt>
                <c:pt idx="168">
                  <c:v>18863</c:v>
                </c:pt>
                <c:pt idx="169">
                  <c:v>18989</c:v>
                </c:pt>
                <c:pt idx="170">
                  <c:v>19118</c:v>
                </c:pt>
                <c:pt idx="171">
                  <c:v>19250</c:v>
                </c:pt>
                <c:pt idx="172">
                  <c:v>19377</c:v>
                </c:pt>
                <c:pt idx="173">
                  <c:v>19512</c:v>
                </c:pt>
                <c:pt idx="174">
                  <c:v>19648</c:v>
                </c:pt>
                <c:pt idx="175">
                  <c:v>19779</c:v>
                </c:pt>
                <c:pt idx="176">
                  <c:v>19908</c:v>
                </c:pt>
                <c:pt idx="177">
                  <c:v>20039</c:v>
                </c:pt>
                <c:pt idx="178">
                  <c:v>20176</c:v>
                </c:pt>
                <c:pt idx="179">
                  <c:v>20308</c:v>
                </c:pt>
                <c:pt idx="180">
                  <c:v>20455</c:v>
                </c:pt>
                <c:pt idx="181">
                  <c:v>20596</c:v>
                </c:pt>
                <c:pt idx="182">
                  <c:v>20731</c:v>
                </c:pt>
                <c:pt idx="183">
                  <c:v>20866</c:v>
                </c:pt>
                <c:pt idx="184">
                  <c:v>20998</c:v>
                </c:pt>
                <c:pt idx="185">
                  <c:v>21129</c:v>
                </c:pt>
                <c:pt idx="186">
                  <c:v>21269</c:v>
                </c:pt>
                <c:pt idx="187">
                  <c:v>21408</c:v>
                </c:pt>
                <c:pt idx="188">
                  <c:v>21536</c:v>
                </c:pt>
                <c:pt idx="189">
                  <c:v>21665</c:v>
                </c:pt>
                <c:pt idx="190">
                  <c:v>21799</c:v>
                </c:pt>
                <c:pt idx="191">
                  <c:v>21935</c:v>
                </c:pt>
                <c:pt idx="192">
                  <c:v>22080</c:v>
                </c:pt>
                <c:pt idx="193">
                  <c:v>22211</c:v>
                </c:pt>
                <c:pt idx="194">
                  <c:v>22350</c:v>
                </c:pt>
                <c:pt idx="195">
                  <c:v>22482</c:v>
                </c:pt>
                <c:pt idx="196">
                  <c:v>22610</c:v>
                </c:pt>
                <c:pt idx="197">
                  <c:v>22746</c:v>
                </c:pt>
                <c:pt idx="198">
                  <c:v>22874</c:v>
                </c:pt>
                <c:pt idx="199">
                  <c:v>23005</c:v>
                </c:pt>
                <c:pt idx="200">
                  <c:v>23148</c:v>
                </c:pt>
                <c:pt idx="201">
                  <c:v>23297</c:v>
                </c:pt>
                <c:pt idx="202">
                  <c:v>23439</c:v>
                </c:pt>
                <c:pt idx="203">
                  <c:v>23580</c:v>
                </c:pt>
                <c:pt idx="204">
                  <c:v>23720</c:v>
                </c:pt>
                <c:pt idx="205">
                  <c:v>23855</c:v>
                </c:pt>
                <c:pt idx="206">
                  <c:v>23988</c:v>
                </c:pt>
                <c:pt idx="207">
                  <c:v>24129</c:v>
                </c:pt>
                <c:pt idx="208">
                  <c:v>24274</c:v>
                </c:pt>
                <c:pt idx="209">
                  <c:v>24407</c:v>
                </c:pt>
                <c:pt idx="210">
                  <c:v>24554</c:v>
                </c:pt>
                <c:pt idx="211">
                  <c:v>24692</c:v>
                </c:pt>
                <c:pt idx="212">
                  <c:v>24832</c:v>
                </c:pt>
                <c:pt idx="213">
                  <c:v>24975</c:v>
                </c:pt>
                <c:pt idx="214">
                  <c:v>25127</c:v>
                </c:pt>
                <c:pt idx="215">
                  <c:v>25269</c:v>
                </c:pt>
                <c:pt idx="216">
                  <c:v>25409</c:v>
                </c:pt>
                <c:pt idx="217">
                  <c:v>25553</c:v>
                </c:pt>
                <c:pt idx="218">
                  <c:v>25692</c:v>
                </c:pt>
                <c:pt idx="219">
                  <c:v>25841</c:v>
                </c:pt>
                <c:pt idx="220">
                  <c:v>26000</c:v>
                </c:pt>
                <c:pt idx="221">
                  <c:v>26144</c:v>
                </c:pt>
                <c:pt idx="222">
                  <c:v>26291</c:v>
                </c:pt>
                <c:pt idx="223">
                  <c:v>26434</c:v>
                </c:pt>
                <c:pt idx="224">
                  <c:v>26586</c:v>
                </c:pt>
                <c:pt idx="225">
                  <c:v>26733</c:v>
                </c:pt>
                <c:pt idx="226">
                  <c:v>26874</c:v>
                </c:pt>
                <c:pt idx="227">
                  <c:v>27012</c:v>
                </c:pt>
                <c:pt idx="228">
                  <c:v>27156</c:v>
                </c:pt>
                <c:pt idx="229">
                  <c:v>27295</c:v>
                </c:pt>
                <c:pt idx="230">
                  <c:v>27445</c:v>
                </c:pt>
                <c:pt idx="231">
                  <c:v>27599</c:v>
                </c:pt>
                <c:pt idx="232">
                  <c:v>27751</c:v>
                </c:pt>
                <c:pt idx="233">
                  <c:v>27901</c:v>
                </c:pt>
                <c:pt idx="234">
                  <c:v>28053</c:v>
                </c:pt>
                <c:pt idx="235">
                  <c:v>28209</c:v>
                </c:pt>
                <c:pt idx="236">
                  <c:v>28361</c:v>
                </c:pt>
                <c:pt idx="237">
                  <c:v>28512</c:v>
                </c:pt>
                <c:pt idx="238">
                  <c:v>28672</c:v>
                </c:pt>
                <c:pt idx="239">
                  <c:v>28834</c:v>
                </c:pt>
                <c:pt idx="240">
                  <c:v>28987</c:v>
                </c:pt>
                <c:pt idx="241">
                  <c:v>29143</c:v>
                </c:pt>
                <c:pt idx="242">
                  <c:v>29307</c:v>
                </c:pt>
                <c:pt idx="243">
                  <c:v>29476</c:v>
                </c:pt>
                <c:pt idx="244">
                  <c:v>29636</c:v>
                </c:pt>
                <c:pt idx="245">
                  <c:v>29793</c:v>
                </c:pt>
                <c:pt idx="246">
                  <c:v>29947</c:v>
                </c:pt>
                <c:pt idx="247">
                  <c:v>30101</c:v>
                </c:pt>
                <c:pt idx="248">
                  <c:v>30260</c:v>
                </c:pt>
                <c:pt idx="249">
                  <c:v>30411</c:v>
                </c:pt>
                <c:pt idx="250">
                  <c:v>30565</c:v>
                </c:pt>
                <c:pt idx="251">
                  <c:v>30726</c:v>
                </c:pt>
                <c:pt idx="252">
                  <c:v>30891</c:v>
                </c:pt>
                <c:pt idx="253">
                  <c:v>31044</c:v>
                </c:pt>
                <c:pt idx="254">
                  <c:v>31201</c:v>
                </c:pt>
                <c:pt idx="255">
                  <c:v>31360</c:v>
                </c:pt>
                <c:pt idx="256">
                  <c:v>31501</c:v>
                </c:pt>
                <c:pt idx="257">
                  <c:v>31643</c:v>
                </c:pt>
                <c:pt idx="258">
                  <c:v>31796</c:v>
                </c:pt>
                <c:pt idx="259">
                  <c:v>31946</c:v>
                </c:pt>
                <c:pt idx="260">
                  <c:v>32100</c:v>
                </c:pt>
                <c:pt idx="261">
                  <c:v>32260</c:v>
                </c:pt>
                <c:pt idx="262">
                  <c:v>32422</c:v>
                </c:pt>
                <c:pt idx="263">
                  <c:v>32588</c:v>
                </c:pt>
                <c:pt idx="264">
                  <c:v>32755</c:v>
                </c:pt>
                <c:pt idx="265">
                  <c:v>32906</c:v>
                </c:pt>
                <c:pt idx="266">
                  <c:v>33054</c:v>
                </c:pt>
                <c:pt idx="267">
                  <c:v>33201</c:v>
                </c:pt>
                <c:pt idx="268">
                  <c:v>33355</c:v>
                </c:pt>
                <c:pt idx="269">
                  <c:v>33509</c:v>
                </c:pt>
                <c:pt idx="270">
                  <c:v>33653</c:v>
                </c:pt>
                <c:pt idx="271">
                  <c:v>33802</c:v>
                </c:pt>
                <c:pt idx="272">
                  <c:v>33946</c:v>
                </c:pt>
                <c:pt idx="273">
                  <c:v>34093</c:v>
                </c:pt>
                <c:pt idx="274">
                  <c:v>34237</c:v>
                </c:pt>
                <c:pt idx="275">
                  <c:v>34373</c:v>
                </c:pt>
                <c:pt idx="276">
                  <c:v>34528</c:v>
                </c:pt>
                <c:pt idx="277">
                  <c:v>34676</c:v>
                </c:pt>
                <c:pt idx="278">
                  <c:v>34818</c:v>
                </c:pt>
                <c:pt idx="279">
                  <c:v>34958</c:v>
                </c:pt>
                <c:pt idx="280">
                  <c:v>35094</c:v>
                </c:pt>
                <c:pt idx="281">
                  <c:v>35233</c:v>
                </c:pt>
                <c:pt idx="282">
                  <c:v>35358</c:v>
                </c:pt>
                <c:pt idx="283">
                  <c:v>35481</c:v>
                </c:pt>
                <c:pt idx="284">
                  <c:v>35611</c:v>
                </c:pt>
                <c:pt idx="285">
                  <c:v>35742</c:v>
                </c:pt>
                <c:pt idx="286">
                  <c:v>35872</c:v>
                </c:pt>
                <c:pt idx="287">
                  <c:v>36012</c:v>
                </c:pt>
                <c:pt idx="288">
                  <c:v>36166</c:v>
                </c:pt>
                <c:pt idx="289">
                  <c:v>36314</c:v>
                </c:pt>
                <c:pt idx="290">
                  <c:v>36439</c:v>
                </c:pt>
                <c:pt idx="291">
                  <c:v>36569</c:v>
                </c:pt>
                <c:pt idx="292">
                  <c:v>36697</c:v>
                </c:pt>
                <c:pt idx="293">
                  <c:v>36827</c:v>
                </c:pt>
                <c:pt idx="294">
                  <c:v>36954</c:v>
                </c:pt>
                <c:pt idx="295">
                  <c:v>37085</c:v>
                </c:pt>
                <c:pt idx="296">
                  <c:v>37225</c:v>
                </c:pt>
                <c:pt idx="297">
                  <c:v>37348</c:v>
                </c:pt>
                <c:pt idx="298">
                  <c:v>37466</c:v>
                </c:pt>
                <c:pt idx="299">
                  <c:v>37578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"Computed altitude (1)"</c:f>
              <c:strCache>
                <c:ptCount val="1"/>
                <c:pt idx="0">
                  <c:v>Computed altitude (1)</c:v>
                </c:pt>
              </c:strCache>
            </c:strRef>
          </c:tx>
          <c:spPr>
            <a:solidFill>
              <a:srgbClr val="FF420E"/>
            </a:solidFill>
            <a:ln w="14400">
              <a:solidFill>
                <a:srgbClr val="FF420E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44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'Flight data'!$D$4:$D$300</c:f>
              <c:numCache>
                <c:formatCode>0.0</c:formatCode>
                <c:ptCount val="297"/>
                <c:pt idx="0">
                  <c:v>1007.26084220716</c:v>
                </c:pt>
                <c:pt idx="1">
                  <c:v>1007.24485317844</c:v>
                </c:pt>
                <c:pt idx="2">
                  <c:v>1001.32891255244</c:v>
                </c:pt>
                <c:pt idx="3">
                  <c:v>986.858841561794</c:v>
                </c:pt>
                <c:pt idx="4">
                  <c:v>975.730477573411</c:v>
                </c:pt>
                <c:pt idx="5">
                  <c:v>965.577444336883</c:v>
                </c:pt>
                <c:pt idx="6">
                  <c:v>950.243965795418</c:v>
                </c:pt>
                <c:pt idx="7">
                  <c:v>933.039770893837</c:v>
                </c:pt>
                <c:pt idx="8">
                  <c:v>916.778928686673</c:v>
                </c:pt>
                <c:pt idx="9">
                  <c:v>905.026992578251</c:v>
                </c:pt>
                <c:pt idx="10">
                  <c:v>893.370990642143</c:v>
                </c:pt>
                <c:pt idx="11">
                  <c:v>881.619054533721</c:v>
                </c:pt>
                <c:pt idx="12">
                  <c:v>869.771184252985</c:v>
                </c:pt>
                <c:pt idx="13">
                  <c:v>859.330348499516</c:v>
                </c:pt>
                <c:pt idx="14">
                  <c:v>848.313907712165</c:v>
                </c:pt>
                <c:pt idx="15">
                  <c:v>837.169554695063</c:v>
                </c:pt>
                <c:pt idx="16">
                  <c:v>826.025201677961</c:v>
                </c:pt>
                <c:pt idx="17">
                  <c:v>815.744256211681</c:v>
                </c:pt>
                <c:pt idx="18">
                  <c:v>805.19149725718</c:v>
                </c:pt>
                <c:pt idx="19">
                  <c:v>794.46285898677</c:v>
                </c:pt>
                <c:pt idx="20">
                  <c:v>784.373781865118</c:v>
                </c:pt>
                <c:pt idx="21">
                  <c:v>775.43591481123</c:v>
                </c:pt>
                <c:pt idx="22">
                  <c:v>764.355517909003</c:v>
                </c:pt>
                <c:pt idx="23">
                  <c:v>753.962649241691</c:v>
                </c:pt>
                <c:pt idx="24">
                  <c:v>743.905550177477</c:v>
                </c:pt>
                <c:pt idx="25">
                  <c:v>731.929767666989</c:v>
                </c:pt>
                <c:pt idx="26">
                  <c:v>719.666182639561</c:v>
                </c:pt>
                <c:pt idx="27">
                  <c:v>709.433204259439</c:v>
                </c:pt>
                <c:pt idx="28">
                  <c:v>699.631929654727</c:v>
                </c:pt>
                <c:pt idx="29">
                  <c:v>689.958567279768</c:v>
                </c:pt>
                <c:pt idx="30">
                  <c:v>680.045369474024</c:v>
                </c:pt>
                <c:pt idx="31">
                  <c:v>670.244094869313</c:v>
                </c:pt>
                <c:pt idx="32">
                  <c:v>661.769909648274</c:v>
                </c:pt>
                <c:pt idx="33">
                  <c:v>653.391658599548</c:v>
                </c:pt>
                <c:pt idx="34">
                  <c:v>645.20527589545</c:v>
                </c:pt>
                <c:pt idx="35">
                  <c:v>637.082849306228</c:v>
                </c:pt>
                <c:pt idx="36">
                  <c:v>628.928444659568</c:v>
                </c:pt>
                <c:pt idx="37">
                  <c:v>620.774040012907</c:v>
                </c:pt>
                <c:pt idx="38">
                  <c:v>612.42776702162</c:v>
                </c:pt>
                <c:pt idx="39">
                  <c:v>602.706437560503</c:v>
                </c:pt>
                <c:pt idx="40">
                  <c:v>594.935769603098</c:v>
                </c:pt>
                <c:pt idx="41">
                  <c:v>587.372959019038</c:v>
                </c:pt>
                <c:pt idx="42">
                  <c:v>580.049983865763</c:v>
                </c:pt>
                <c:pt idx="43">
                  <c:v>572.854920942239</c:v>
                </c:pt>
                <c:pt idx="44">
                  <c:v>565.579912875121</c:v>
                </c:pt>
                <c:pt idx="45">
                  <c:v>558.320893836722</c:v>
                </c:pt>
                <c:pt idx="46">
                  <c:v>550.949951597289</c:v>
                </c:pt>
                <c:pt idx="47">
                  <c:v>544.010713133269</c:v>
                </c:pt>
                <c:pt idx="48">
                  <c:v>537.055485640529</c:v>
                </c:pt>
                <c:pt idx="49">
                  <c:v>530.116247176509</c:v>
                </c:pt>
                <c:pt idx="50">
                  <c:v>523.017118425298</c:v>
                </c:pt>
                <c:pt idx="51">
                  <c:v>515.74211035818</c:v>
                </c:pt>
                <c:pt idx="52">
                  <c:v>508.738915779284</c:v>
                </c:pt>
                <c:pt idx="53">
                  <c:v>501.799677315263</c:v>
                </c:pt>
                <c:pt idx="54">
                  <c:v>494.956373023556</c:v>
                </c:pt>
                <c:pt idx="55">
                  <c:v>488.177024846725</c:v>
                </c:pt>
                <c:pt idx="56">
                  <c:v>481.845369474024</c:v>
                </c:pt>
                <c:pt idx="57">
                  <c:v>475.529703130042</c:v>
                </c:pt>
                <c:pt idx="58">
                  <c:v>469.262003872217</c:v>
                </c:pt>
                <c:pt idx="59">
                  <c:v>463.02628267183</c:v>
                </c:pt>
                <c:pt idx="60">
                  <c:v>456.966440787351</c:v>
                </c:pt>
                <c:pt idx="61">
                  <c:v>450.986544046467</c:v>
                </c:pt>
                <c:pt idx="62">
                  <c:v>445.006647305582</c:v>
                </c:pt>
                <c:pt idx="63">
                  <c:v>439.60235559858</c:v>
                </c:pt>
                <c:pt idx="64">
                  <c:v>433.974217489513</c:v>
                </c:pt>
                <c:pt idx="65">
                  <c:v>428.442013552759</c:v>
                </c:pt>
                <c:pt idx="66">
                  <c:v>422.781897386254</c:v>
                </c:pt>
                <c:pt idx="67">
                  <c:v>417.345627621814</c:v>
                </c:pt>
                <c:pt idx="68">
                  <c:v>411.749467570184</c:v>
                </c:pt>
                <c:pt idx="69">
                  <c:v>405.625669570829</c:v>
                </c:pt>
                <c:pt idx="70">
                  <c:v>399.949564375605</c:v>
                </c:pt>
                <c:pt idx="71">
                  <c:v>394.305437237819</c:v>
                </c:pt>
                <c:pt idx="72">
                  <c:v>388.773233301065</c:v>
                </c:pt>
                <c:pt idx="73">
                  <c:v>383.400919651501</c:v>
                </c:pt>
                <c:pt idx="74">
                  <c:v>378.076573088093</c:v>
                </c:pt>
                <c:pt idx="75">
                  <c:v>372.704259438529</c:v>
                </c:pt>
                <c:pt idx="76">
                  <c:v>366.692384640207</c:v>
                </c:pt>
                <c:pt idx="77">
                  <c:v>359.913036463375</c:v>
                </c:pt>
                <c:pt idx="78">
                  <c:v>354.125008067119</c:v>
                </c:pt>
                <c:pt idx="79">
                  <c:v>348.768683446273</c:v>
                </c:pt>
                <c:pt idx="80">
                  <c:v>343.604227170055</c:v>
                </c:pt>
                <c:pt idx="81">
                  <c:v>338.519716037431</c:v>
                </c:pt>
                <c:pt idx="82">
                  <c:v>333.40322684737</c:v>
                </c:pt>
                <c:pt idx="83">
                  <c:v>328.238770571152</c:v>
                </c:pt>
                <c:pt idx="84">
                  <c:v>323.298160696999</c:v>
                </c:pt>
                <c:pt idx="85">
                  <c:v>318.229638593095</c:v>
                </c:pt>
                <c:pt idx="86">
                  <c:v>313.033204259439</c:v>
                </c:pt>
                <c:pt idx="87">
                  <c:v>307.948693126815</c:v>
                </c:pt>
                <c:pt idx="88">
                  <c:v>302.992094223943</c:v>
                </c:pt>
                <c:pt idx="89">
                  <c:v>297.971539206196</c:v>
                </c:pt>
                <c:pt idx="90">
                  <c:v>292.950984188448</c:v>
                </c:pt>
                <c:pt idx="91">
                  <c:v>287.994385285576</c:v>
                </c:pt>
                <c:pt idx="92">
                  <c:v>283.085753468861</c:v>
                </c:pt>
                <c:pt idx="93">
                  <c:v>277.825363020329</c:v>
                </c:pt>
                <c:pt idx="94">
                  <c:v>272.708873830268</c:v>
                </c:pt>
                <c:pt idx="95">
                  <c:v>268.247934817683</c:v>
                </c:pt>
                <c:pt idx="96">
                  <c:v>263.866940948693</c:v>
                </c:pt>
                <c:pt idx="97">
                  <c:v>259.67781542433</c:v>
                </c:pt>
                <c:pt idx="98">
                  <c:v>255.568635043562</c:v>
                </c:pt>
                <c:pt idx="99">
                  <c:v>251.52341077767</c:v>
                </c:pt>
                <c:pt idx="100">
                  <c:v>247.510164569216</c:v>
                </c:pt>
                <c:pt idx="101">
                  <c:v>243.257082929977</c:v>
                </c:pt>
                <c:pt idx="102">
                  <c:v>238.98801226202</c:v>
                </c:pt>
                <c:pt idx="103">
                  <c:v>235.038722168441</c:v>
                </c:pt>
                <c:pt idx="104">
                  <c:v>231.057454017425</c:v>
                </c:pt>
                <c:pt idx="105">
                  <c:v>227.108163923846</c:v>
                </c:pt>
                <c:pt idx="106">
                  <c:v>223.334753146176</c:v>
                </c:pt>
                <c:pt idx="107">
                  <c:v>219.561342368506</c:v>
                </c:pt>
                <c:pt idx="108">
                  <c:v>215.755953533398</c:v>
                </c:pt>
                <c:pt idx="109">
                  <c:v>211.95056469829</c:v>
                </c:pt>
                <c:pt idx="110">
                  <c:v>208.17715392062</c:v>
                </c:pt>
                <c:pt idx="111">
                  <c:v>204.531655372701</c:v>
                </c:pt>
                <c:pt idx="112">
                  <c:v>201.030058083253</c:v>
                </c:pt>
                <c:pt idx="113">
                  <c:v>197.576427879961</c:v>
                </c:pt>
                <c:pt idx="114">
                  <c:v>193.994885446918</c:v>
                </c:pt>
                <c:pt idx="115">
                  <c:v>190.605211358503</c:v>
                </c:pt>
                <c:pt idx="116">
                  <c:v>187.231526298806</c:v>
                </c:pt>
                <c:pt idx="117">
                  <c:v>183.873830267828</c:v>
                </c:pt>
                <c:pt idx="118">
                  <c:v>180.580090351726</c:v>
                </c:pt>
                <c:pt idx="119">
                  <c:v>177.270361406905</c:v>
                </c:pt>
                <c:pt idx="120">
                  <c:v>174.040577605679</c:v>
                </c:pt>
                <c:pt idx="121">
                  <c:v>170.55496934495</c:v>
                </c:pt>
                <c:pt idx="122">
                  <c:v>166.78155856728</c:v>
                </c:pt>
                <c:pt idx="123">
                  <c:v>163.631719909648</c:v>
                </c:pt>
                <c:pt idx="124">
                  <c:v>160.641771539206</c:v>
                </c:pt>
                <c:pt idx="125">
                  <c:v>157.779735398516</c:v>
                </c:pt>
                <c:pt idx="126">
                  <c:v>154.917699257825</c:v>
                </c:pt>
                <c:pt idx="127">
                  <c:v>152.167586318167</c:v>
                </c:pt>
                <c:pt idx="128">
                  <c:v>149.433462407228</c:v>
                </c:pt>
                <c:pt idx="129">
                  <c:v>146.491481122943</c:v>
                </c:pt>
                <c:pt idx="130">
                  <c:v>143.805324298161</c:v>
                </c:pt>
                <c:pt idx="131">
                  <c:v>141.215101645692</c:v>
                </c:pt>
                <c:pt idx="132">
                  <c:v>138.624878993224</c:v>
                </c:pt>
                <c:pt idx="133">
                  <c:v>136.066634398193</c:v>
                </c:pt>
                <c:pt idx="134">
                  <c:v>133.652291061633</c:v>
                </c:pt>
                <c:pt idx="135">
                  <c:v>131.221958696354</c:v>
                </c:pt>
                <c:pt idx="136">
                  <c:v>128.807615359794</c:v>
                </c:pt>
                <c:pt idx="137">
                  <c:v>126.377282994514</c:v>
                </c:pt>
                <c:pt idx="138">
                  <c:v>123.978928686673</c:v>
                </c:pt>
                <c:pt idx="139">
                  <c:v>121.724475637302</c:v>
                </c:pt>
                <c:pt idx="140">
                  <c:v>119.502000645369</c:v>
                </c:pt>
                <c:pt idx="141">
                  <c:v>117.311503710874</c:v>
                </c:pt>
                <c:pt idx="142">
                  <c:v>115.26490803485</c:v>
                </c:pt>
                <c:pt idx="143">
                  <c:v>113.202323330106</c:v>
                </c:pt>
                <c:pt idx="144">
                  <c:v>111.219683768958</c:v>
                </c:pt>
                <c:pt idx="145">
                  <c:v>109.237044207809</c:v>
                </c:pt>
                <c:pt idx="146">
                  <c:v>107.25440464666</c:v>
                </c:pt>
                <c:pt idx="147">
                  <c:v>105.28775411423</c:v>
                </c:pt>
                <c:pt idx="148">
                  <c:v>103.209180380768</c:v>
                </c:pt>
                <c:pt idx="149">
                  <c:v>101.2105517909</c:v>
                </c:pt>
                <c:pt idx="150">
                  <c:v>99.2279122297515</c:v>
                </c:pt>
                <c:pt idx="151">
                  <c:v>97.2612616973217</c:v>
                </c:pt>
                <c:pt idx="152">
                  <c:v>95.3905453372056</c:v>
                </c:pt>
                <c:pt idx="153">
                  <c:v>93.5837850919652</c:v>
                </c:pt>
                <c:pt idx="154">
                  <c:v>91.8249919328816</c:v>
                </c:pt>
                <c:pt idx="155">
                  <c:v>90.0342207163601</c:v>
                </c:pt>
                <c:pt idx="156">
                  <c:v>88.3074056147144</c:v>
                </c:pt>
                <c:pt idx="157">
                  <c:v>86.5805905130687</c:v>
                </c:pt>
                <c:pt idx="158">
                  <c:v>84.9017424975799</c:v>
                </c:pt>
                <c:pt idx="159">
                  <c:v>83.2548725395289</c:v>
                </c:pt>
                <c:pt idx="160">
                  <c:v>81.592013552759</c:v>
                </c:pt>
                <c:pt idx="161">
                  <c:v>80.0250887383027</c:v>
                </c:pt>
                <c:pt idx="162">
                  <c:v>78.4741529525654</c:v>
                </c:pt>
                <c:pt idx="163">
                  <c:v>77.0191513391417</c:v>
                </c:pt>
                <c:pt idx="164">
                  <c:v>75.5961277831559</c:v>
                </c:pt>
                <c:pt idx="165">
                  <c:v>74.2210713133269</c:v>
                </c:pt>
                <c:pt idx="166">
                  <c:v>72.81403678606</c:v>
                </c:pt>
                <c:pt idx="167">
                  <c:v>71.3910132300742</c:v>
                </c:pt>
                <c:pt idx="168">
                  <c:v>69.9839787028074</c:v>
                </c:pt>
                <c:pt idx="169">
                  <c:v>68.6249112616973</c:v>
                </c:pt>
                <c:pt idx="170">
                  <c:v>67.2498547918683</c:v>
                </c:pt>
                <c:pt idx="171">
                  <c:v>65.8747983220394</c:v>
                </c:pt>
                <c:pt idx="172">
                  <c:v>64.5317199096483</c:v>
                </c:pt>
                <c:pt idx="173">
                  <c:v>63.2685866408519</c:v>
                </c:pt>
                <c:pt idx="174">
                  <c:v>61.9894643433366</c:v>
                </c:pt>
                <c:pt idx="175">
                  <c:v>60.7423201032591</c:v>
                </c:pt>
                <c:pt idx="176">
                  <c:v>59.4791868344627</c:v>
                </c:pt>
                <c:pt idx="177">
                  <c:v>58.31198773798</c:v>
                </c:pt>
                <c:pt idx="178">
                  <c:v>57.0808325266215</c:v>
                </c:pt>
                <c:pt idx="179">
                  <c:v>55.849677315263</c:v>
                </c:pt>
                <c:pt idx="180">
                  <c:v>54.6824782187803</c:v>
                </c:pt>
                <c:pt idx="181">
                  <c:v>53.5312681510165</c:v>
                </c:pt>
                <c:pt idx="182">
                  <c:v>52.3800580832527</c:v>
                </c:pt>
                <c:pt idx="183">
                  <c:v>51.3087931590836</c:v>
                </c:pt>
                <c:pt idx="184">
                  <c:v>50.2215392061955</c:v>
                </c:pt>
                <c:pt idx="185">
                  <c:v>49.1982413681833</c:v>
                </c:pt>
                <c:pt idx="186">
                  <c:v>48.174943530171</c:v>
                </c:pt>
                <c:pt idx="187">
                  <c:v>47.1996127783156</c:v>
                </c:pt>
                <c:pt idx="188">
                  <c:v>46.2402710551791</c:v>
                </c:pt>
                <c:pt idx="189">
                  <c:v>45.2969183607615</c:v>
                </c:pt>
                <c:pt idx="190">
                  <c:v>44.4015327525008</c:v>
                </c:pt>
                <c:pt idx="191">
                  <c:v>43.4901581155211</c:v>
                </c:pt>
                <c:pt idx="192">
                  <c:v>42.5627944498225</c:v>
                </c:pt>
                <c:pt idx="193">
                  <c:v>41.6833978702807</c:v>
                </c:pt>
                <c:pt idx="194">
                  <c:v>40.78801226202</c:v>
                </c:pt>
                <c:pt idx="195">
                  <c:v>39.956582768635</c:v>
                </c:pt>
                <c:pt idx="196">
                  <c:v>39.2050984188448</c:v>
                </c:pt>
                <c:pt idx="197">
                  <c:v>38.3896579541788</c:v>
                </c:pt>
                <c:pt idx="198">
                  <c:v>37.6381736043885</c:v>
                </c:pt>
                <c:pt idx="199">
                  <c:v>36.8866892545983</c:v>
                </c:pt>
                <c:pt idx="200">
                  <c:v>36.1671829622459</c:v>
                </c:pt>
                <c:pt idx="201">
                  <c:v>35.4316876411746</c:v>
                </c:pt>
                <c:pt idx="202">
                  <c:v>34.6322362052275</c:v>
                </c:pt>
                <c:pt idx="203">
                  <c:v>33.9127299128751</c:v>
                </c:pt>
                <c:pt idx="204">
                  <c:v>33.1932236205228</c:v>
                </c:pt>
                <c:pt idx="205">
                  <c:v>32.4897063568893</c:v>
                </c:pt>
                <c:pt idx="206">
                  <c:v>31.8181671506938</c:v>
                </c:pt>
                <c:pt idx="207">
                  <c:v>31.1786060019361</c:v>
                </c:pt>
                <c:pt idx="208">
                  <c:v>30.5550338818974</c:v>
                </c:pt>
                <c:pt idx="209">
                  <c:v>29.9634398192965</c:v>
                </c:pt>
                <c:pt idx="210">
                  <c:v>29.3238786705389</c:v>
                </c:pt>
                <c:pt idx="211">
                  <c:v>28.7162955792191</c:v>
                </c:pt>
                <c:pt idx="212">
                  <c:v>28.0927234591804</c:v>
                </c:pt>
                <c:pt idx="213">
                  <c:v>27.4851403678606</c:v>
                </c:pt>
                <c:pt idx="214">
                  <c:v>26.9095353339787</c:v>
                </c:pt>
                <c:pt idx="215">
                  <c:v>26.3339303000968</c:v>
                </c:pt>
                <c:pt idx="216">
                  <c:v>25.8382704098096</c:v>
                </c:pt>
                <c:pt idx="217">
                  <c:v>25.2786544046467</c:v>
                </c:pt>
                <c:pt idx="218">
                  <c:v>24.7510164569216</c:v>
                </c:pt>
                <c:pt idx="219">
                  <c:v>24.2233785091965</c:v>
                </c:pt>
                <c:pt idx="220">
                  <c:v>23.7437076476283</c:v>
                </c:pt>
                <c:pt idx="221">
                  <c:v>23.1681026137464</c:v>
                </c:pt>
                <c:pt idx="222">
                  <c:v>22.7044207808971</c:v>
                </c:pt>
                <c:pt idx="223">
                  <c:v>22.1927718618909</c:v>
                </c:pt>
                <c:pt idx="224">
                  <c:v>21.7450790577606</c:v>
                </c:pt>
                <c:pt idx="225">
                  <c:v>21.2654081961923</c:v>
                </c:pt>
                <c:pt idx="226">
                  <c:v>20.8337044207809</c:v>
                </c:pt>
                <c:pt idx="227">
                  <c:v>20.4179896740884</c:v>
                </c:pt>
                <c:pt idx="228">
                  <c:v>19.9702968699581</c:v>
                </c:pt>
                <c:pt idx="229">
                  <c:v>19.5705711519845</c:v>
                </c:pt>
                <c:pt idx="230">
                  <c:v>19.1868344627299</c:v>
                </c:pt>
                <c:pt idx="231">
                  <c:v>18.7551306873185</c:v>
                </c:pt>
                <c:pt idx="232">
                  <c:v>18.3713939980639</c:v>
                </c:pt>
                <c:pt idx="233">
                  <c:v>17.9716682800904</c:v>
                </c:pt>
                <c:pt idx="234">
                  <c:v>17.6039206195547</c:v>
                </c:pt>
                <c:pt idx="235">
                  <c:v>17.1722168441433</c:v>
                </c:pt>
                <c:pt idx="236">
                  <c:v>16.8204582123266</c:v>
                </c:pt>
                <c:pt idx="237">
                  <c:v>16.4527105517909</c:v>
                </c:pt>
                <c:pt idx="238">
                  <c:v>16.1009519199742</c:v>
                </c:pt>
                <c:pt idx="239">
                  <c:v>15.7651823168764</c:v>
                </c:pt>
                <c:pt idx="240">
                  <c:v>15.3814456276218</c:v>
                </c:pt>
                <c:pt idx="241">
                  <c:v>15.045676024524</c:v>
                </c:pt>
                <c:pt idx="242">
                  <c:v>14.7258954501452</c:v>
                </c:pt>
                <c:pt idx="243">
                  <c:v>14.3901258470474</c:v>
                </c:pt>
                <c:pt idx="244">
                  <c:v>14.0543562439497</c:v>
                </c:pt>
                <c:pt idx="245">
                  <c:v>13.7345756695708</c:v>
                </c:pt>
                <c:pt idx="246">
                  <c:v>13.414795095192</c:v>
                </c:pt>
                <c:pt idx="247">
                  <c:v>13.14298160697</c:v>
                </c:pt>
                <c:pt idx="248">
                  <c:v>12.6792997741207</c:v>
                </c:pt>
                <c:pt idx="249">
                  <c:v>12.3595191997419</c:v>
                </c:pt>
                <c:pt idx="250">
                  <c:v>12.055727654082</c:v>
                </c:pt>
                <c:pt idx="251">
                  <c:v>11.7999031945789</c:v>
                </c:pt>
                <c:pt idx="252">
                  <c:v>11.5600677637948</c:v>
                </c:pt>
                <c:pt idx="253">
                  <c:v>11.3042433042917</c:v>
                </c:pt>
                <c:pt idx="254">
                  <c:v>11.0484188447886</c:v>
                </c:pt>
                <c:pt idx="255">
                  <c:v>10.7925943852856</c:v>
                </c:pt>
                <c:pt idx="256">
                  <c:v>10.5527589545015</c:v>
                </c:pt>
                <c:pt idx="257">
                  <c:v>10.3608906098742</c:v>
                </c:pt>
                <c:pt idx="258">
                  <c:v>10.1530332365279</c:v>
                </c:pt>
                <c:pt idx="259">
                  <c:v>9.96116489190061</c:v>
                </c:pt>
                <c:pt idx="260">
                  <c:v>9.73731848983543</c:v>
                </c:pt>
                <c:pt idx="261">
                  <c:v>9.51347208777025</c:v>
                </c:pt>
                <c:pt idx="262">
                  <c:v>9.32160374314295</c:v>
                </c:pt>
                <c:pt idx="263">
                  <c:v>9.09775734107777</c:v>
                </c:pt>
                <c:pt idx="264">
                  <c:v>8.90588899645047</c:v>
                </c:pt>
                <c:pt idx="265">
                  <c:v>8.71402065182317</c:v>
                </c:pt>
                <c:pt idx="266">
                  <c:v>8.52215230719587</c:v>
                </c:pt>
                <c:pt idx="267">
                  <c:v>8.36226202000646</c:v>
                </c:pt>
                <c:pt idx="268">
                  <c:v>8.20237173281704</c:v>
                </c:pt>
                <c:pt idx="269">
                  <c:v>8.02649241690868</c:v>
                </c:pt>
                <c:pt idx="270">
                  <c:v>7.86660212971926</c:v>
                </c:pt>
                <c:pt idx="271">
                  <c:v>7.70671184252985</c:v>
                </c:pt>
                <c:pt idx="272">
                  <c:v>7.56281058405937</c:v>
                </c:pt>
                <c:pt idx="273">
                  <c:v>7.38693126815102</c:v>
                </c:pt>
                <c:pt idx="274">
                  <c:v>7.25901903839948</c:v>
                </c:pt>
                <c:pt idx="275">
                  <c:v>7.14709583736689</c:v>
                </c:pt>
                <c:pt idx="276">
                  <c:v>6.98720555017748</c:v>
                </c:pt>
                <c:pt idx="277">
                  <c:v>6.843304291707</c:v>
                </c:pt>
                <c:pt idx="278">
                  <c:v>6.74737011939335</c:v>
                </c:pt>
                <c:pt idx="279">
                  <c:v>6.60346886092288</c:v>
                </c:pt>
                <c:pt idx="280">
                  <c:v>6.50753468860923</c:v>
                </c:pt>
                <c:pt idx="281">
                  <c:v>6.3796224588577</c:v>
                </c:pt>
                <c:pt idx="282">
                  <c:v>6.26769925782511</c:v>
                </c:pt>
                <c:pt idx="283">
                  <c:v>6.17176508551146</c:v>
                </c:pt>
                <c:pt idx="284">
                  <c:v>6.05984188447886</c:v>
                </c:pt>
                <c:pt idx="285">
                  <c:v>5.97989674088416</c:v>
                </c:pt>
                <c:pt idx="286">
                  <c:v>5.86797353985156</c:v>
                </c:pt>
                <c:pt idx="287">
                  <c:v>5.75605033881897</c:v>
                </c:pt>
                <c:pt idx="288">
                  <c:v>5.64412713778638</c:v>
                </c:pt>
                <c:pt idx="289">
                  <c:v>5.53220393675379</c:v>
                </c:pt>
                <c:pt idx="290">
                  <c:v>5.43626976444014</c:v>
                </c:pt>
                <c:pt idx="291">
                  <c:v>5.34033559212649</c:v>
                </c:pt>
                <c:pt idx="292">
                  <c:v>5.29236850596967</c:v>
                </c:pt>
                <c:pt idx="293">
                  <c:v>5.19643433365602</c:v>
                </c:pt>
                <c:pt idx="294">
                  <c:v>5.10050016134237</c:v>
                </c:pt>
                <c:pt idx="295">
                  <c:v>5.0365440464666</c:v>
                </c:pt>
                <c:pt idx="296">
                  <c:v>4.95659890287189</c:v>
                </c:pt>
              </c:numCache>
            </c:numRef>
          </c:xVal>
          <c:yVal>
            <c:numRef>
              <c:f>'Flight data'!$J$4:$J$300</c:f>
              <c:numCache>
                <c:formatCode>0.0</c:formatCode>
                <c:ptCount val="297"/>
                <c:pt idx="0">
                  <c:v>104.73528095162</c:v>
                </c:pt>
                <c:pt idx="1">
                  <c:v>104.872513972513</c:v>
                </c:pt>
                <c:pt idx="2">
                  <c:v>155.79883658705</c:v>
                </c:pt>
                <c:pt idx="3">
                  <c:v>281.640942104662</c:v>
                </c:pt>
                <c:pt idx="4">
                  <c:v>379.682812103647</c:v>
                </c:pt>
                <c:pt idx="5">
                  <c:v>470.112364528645</c:v>
                </c:pt>
                <c:pt idx="6">
                  <c:v>608.500857956766</c:v>
                </c:pt>
                <c:pt idx="7">
                  <c:v>766.456709698069</c:v>
                </c:pt>
                <c:pt idx="8">
                  <c:v>918.451988171724</c:v>
                </c:pt>
                <c:pt idx="9">
                  <c:v>1029.988838624</c:v>
                </c:pt>
                <c:pt idx="10">
                  <c:v>1142.05511085828</c:v>
                </c:pt>
                <c:pt idx="11">
                  <c:v>1256.53386288726</c:v>
                </c:pt>
                <c:pt idx="12">
                  <c:v>1373.50239267025</c:v>
                </c:pt>
                <c:pt idx="13">
                  <c:v>1477.90830360182</c:v>
                </c:pt>
                <c:pt idx="14">
                  <c:v>1589.45455197875</c:v>
                </c:pt>
                <c:pt idx="15">
                  <c:v>1703.77969001366</c:v>
                </c:pt>
                <c:pt idx="16">
                  <c:v>1819.63696080315</c:v>
                </c:pt>
                <c:pt idx="17">
                  <c:v>1927.91281054309</c:v>
                </c:pt>
                <c:pt idx="18">
                  <c:v>2040.47988848434</c:v>
                </c:pt>
                <c:pt idx="19">
                  <c:v>2156.44570817123</c:v>
                </c:pt>
                <c:pt idx="20">
                  <c:v>2266.93627385891</c:v>
                </c:pt>
                <c:pt idx="21">
                  <c:v>2366.01309602202</c:v>
                </c:pt>
                <c:pt idx="22">
                  <c:v>2490.43761064585</c:v>
                </c:pt>
                <c:pt idx="23">
                  <c:v>2608.79202862536</c:v>
                </c:pt>
                <c:pt idx="24">
                  <c:v>2724.88627436101</c:v>
                </c:pt>
                <c:pt idx="25">
                  <c:v>2865.19367346347</c:v>
                </c:pt>
                <c:pt idx="26">
                  <c:v>3011.27243287125</c:v>
                </c:pt>
                <c:pt idx="27">
                  <c:v>3135.08139604236</c:v>
                </c:pt>
                <c:pt idx="28">
                  <c:v>3255.35311919594</c:v>
                </c:pt>
                <c:pt idx="29">
                  <c:v>3375.71880030048</c:v>
                </c:pt>
                <c:pt idx="30">
                  <c:v>3500.83241660779</c:v>
                </c:pt>
                <c:pt idx="31">
                  <c:v>3626.3395314164</c:v>
                </c:pt>
                <c:pt idx="32">
                  <c:v>3736.34139962856</c:v>
                </c:pt>
                <c:pt idx="33">
                  <c:v>3846.49157064971</c:v>
                </c:pt>
                <c:pt idx="34">
                  <c:v>3955.49206405487</c:v>
                </c:pt>
                <c:pt idx="35">
                  <c:v>4065.01649955794</c:v>
                </c:pt>
                <c:pt idx="36">
                  <c:v>4176.38585984898</c:v>
                </c:pt>
                <c:pt idx="37">
                  <c:v>4289.20864837984</c:v>
                </c:pt>
                <c:pt idx="38">
                  <c:v>4406.2313458535</c:v>
                </c:pt>
                <c:pt idx="39">
                  <c:v>4544.56113727475</c:v>
                </c:pt>
                <c:pt idx="40">
                  <c:v>4656.7481008768</c:v>
                </c:pt>
                <c:pt idx="41">
                  <c:v>4767.35018009249</c:v>
                </c:pt>
                <c:pt idx="42">
                  <c:v>4875.81029824988</c:v>
                </c:pt>
                <c:pt idx="43">
                  <c:v>4983.71783736801</c:v>
                </c:pt>
                <c:pt idx="44">
                  <c:v>5094.21121656004</c:v>
                </c:pt>
                <c:pt idx="45">
                  <c:v>5205.88752050222</c:v>
                </c:pt>
                <c:pt idx="46">
                  <c:v>5320.78138617305</c:v>
                </c:pt>
                <c:pt idx="47">
                  <c:v>5430.3595828382</c:v>
                </c:pt>
                <c:pt idx="48">
                  <c:v>5541.60191459683</c:v>
                </c:pt>
                <c:pt idx="49">
                  <c:v>5654.03358432601</c:v>
                </c:pt>
                <c:pt idx="50">
                  <c:v>5770.58922584873</c:v>
                </c:pt>
                <c:pt idx="51">
                  <c:v>5891.68548442381</c:v>
                </c:pt>
                <c:pt idx="52">
                  <c:v>6009.88183809913</c:v>
                </c:pt>
                <c:pt idx="53">
                  <c:v>6128.6146559141</c:v>
                </c:pt>
                <c:pt idx="54">
                  <c:v>6247.32507421679</c:v>
                </c:pt>
                <c:pt idx="55">
                  <c:v>6366.55558751762</c:v>
                </c:pt>
                <c:pt idx="56">
                  <c:v>6479.41732094569</c:v>
                </c:pt>
                <c:pt idx="57">
                  <c:v>6593.48126996646</c:v>
                </c:pt>
                <c:pt idx="58">
                  <c:v>6708.18657089453</c:v>
                </c:pt>
                <c:pt idx="59">
                  <c:v>6823.83719451024</c:v>
                </c:pt>
                <c:pt idx="60">
                  <c:v>6937.72788384718</c:v>
                </c:pt>
                <c:pt idx="61">
                  <c:v>7051.60635923524</c:v>
                </c:pt>
                <c:pt idx="62">
                  <c:v>7167.00493906136</c:v>
                </c:pt>
                <c:pt idx="63">
                  <c:v>7272.63751521868</c:v>
                </c:pt>
                <c:pt idx="64">
                  <c:v>7384.03485415673</c:v>
                </c:pt>
                <c:pt idx="65">
                  <c:v>7494.95035825968</c:v>
                </c:pt>
                <c:pt idx="66">
                  <c:v>7609.9225925931</c:v>
                </c:pt>
                <c:pt idx="67">
                  <c:v>7721.80631007268</c:v>
                </c:pt>
                <c:pt idx="68">
                  <c:v>7838.51344750046</c:v>
                </c:pt>
                <c:pt idx="69">
                  <c:v>7968.05604461438</c:v>
                </c:pt>
                <c:pt idx="70">
                  <c:v>8089.88669346999</c:v>
                </c:pt>
                <c:pt idx="71">
                  <c:v>8212.75763340677</c:v>
                </c:pt>
                <c:pt idx="72">
                  <c:v>8334.91089073734</c:v>
                </c:pt>
                <c:pt idx="73">
                  <c:v>8455.20881885742</c:v>
                </c:pt>
                <c:pt idx="74">
                  <c:v>8576.10744423881</c:v>
                </c:pt>
                <c:pt idx="75">
                  <c:v>8699.83334847138</c:v>
                </c:pt>
                <c:pt idx="76">
                  <c:v>8840.42096350264</c:v>
                </c:pt>
                <c:pt idx="77">
                  <c:v>9001.74792285644</c:v>
                </c:pt>
                <c:pt idx="78">
                  <c:v>9141.90784710383</c:v>
                </c:pt>
                <c:pt idx="79">
                  <c:v>9273.67000273963</c:v>
                </c:pt>
                <c:pt idx="80">
                  <c:v>9402.64265540948</c:v>
                </c:pt>
                <c:pt idx="81">
                  <c:v>9531.5266513551</c:v>
                </c:pt>
                <c:pt idx="82">
                  <c:v>9663.19034218454</c:v>
                </c:pt>
                <c:pt idx="83">
                  <c:v>9798.15355293536</c:v>
                </c:pt>
                <c:pt idx="84">
                  <c:v>9929.2693106107</c:v>
                </c:pt>
                <c:pt idx="85">
                  <c:v>10065.8785085491</c:v>
                </c:pt>
                <c:pt idx="86">
                  <c:v>10208.2129715365</c:v>
                </c:pt>
                <c:pt idx="87">
                  <c:v>10349.7874624093</c:v>
                </c:pt>
                <c:pt idx="88">
                  <c:v>10490.0685827094</c:v>
                </c:pt>
                <c:pt idx="89">
                  <c:v>10634.5189607832</c:v>
                </c:pt>
                <c:pt idx="90">
                  <c:v>10781.4239945927</c:v>
                </c:pt>
                <c:pt idx="91">
                  <c:v>10928.9484638306</c:v>
                </c:pt>
                <c:pt idx="92">
                  <c:v>11077.5691074423</c:v>
                </c:pt>
                <c:pt idx="93">
                  <c:v>11239.7283498384</c:v>
                </c:pt>
                <c:pt idx="94">
                  <c:v>11400.4244263327</c:v>
                </c:pt>
                <c:pt idx="95">
                  <c:v>11543.0109824644</c:v>
                </c:pt>
                <c:pt idx="96">
                  <c:v>11685.369054879</c:v>
                </c:pt>
                <c:pt idx="97">
                  <c:v>11823.7205538084</c:v>
                </c:pt>
                <c:pt idx="98">
                  <c:v>11961.6174355356</c:v>
                </c:pt>
                <c:pt idx="99">
                  <c:v>12099.5510315215</c:v>
                </c:pt>
                <c:pt idx="100">
                  <c:v>12238.6040565286</c:v>
                </c:pt>
                <c:pt idx="101">
                  <c:v>12388.4496792559</c:v>
                </c:pt>
                <c:pt idx="102">
                  <c:v>12541.5167990391</c:v>
                </c:pt>
                <c:pt idx="103">
                  <c:v>12685.5727782917</c:v>
                </c:pt>
                <c:pt idx="104">
                  <c:v>12833.2663157823</c:v>
                </c:pt>
                <c:pt idx="105">
                  <c:v>12982.3095744622</c:v>
                </c:pt>
                <c:pt idx="106">
                  <c:v>13127.1565805636</c:v>
                </c:pt>
                <c:pt idx="107">
                  <c:v>13274.4718562613</c:v>
                </c:pt>
                <c:pt idx="108">
                  <c:v>13425.6222281664</c:v>
                </c:pt>
                <c:pt idx="109">
                  <c:v>13579.4623698288</c:v>
                </c:pt>
                <c:pt idx="110">
                  <c:v>13734.7616592649</c:v>
                </c:pt>
                <c:pt idx="111">
                  <c:v>13887.4934790928</c:v>
                </c:pt>
                <c:pt idx="112">
                  <c:v>14036.7815411801</c:v>
                </c:pt>
                <c:pt idx="113">
                  <c:v>14186.5938098831</c:v>
                </c:pt>
                <c:pt idx="114">
                  <c:v>14344.7464277686</c:v>
                </c:pt>
                <c:pt idx="115">
                  <c:v>14497.1393651374</c:v>
                </c:pt>
                <c:pt idx="116">
                  <c:v>14651.5285724883</c:v>
                </c:pt>
                <c:pt idx="117">
                  <c:v>14807.9733413852</c:v>
                </c:pt>
                <c:pt idx="118">
                  <c:v>14964.238997975</c:v>
                </c:pt>
                <c:pt idx="119">
                  <c:v>15124.1610238275</c:v>
                </c:pt>
                <c:pt idx="120">
                  <c:v>15283.1251238553</c:v>
                </c:pt>
                <c:pt idx="121">
                  <c:v>15458.0247043896</c:v>
                </c:pt>
                <c:pt idx="122">
                  <c:v>15651.4413601875</c:v>
                </c:pt>
                <c:pt idx="123">
                  <c:v>15816.2762011968</c:v>
                </c:pt>
                <c:pt idx="124">
                  <c:v>15975.7060337015</c:v>
                </c:pt>
                <c:pt idx="125">
                  <c:v>16131.1197896421</c:v>
                </c:pt>
                <c:pt idx="126">
                  <c:v>16289.378624287</c:v>
                </c:pt>
                <c:pt idx="127">
                  <c:v>16444.2275417596</c:v>
                </c:pt>
                <c:pt idx="128">
                  <c:v>16600.9756410849</c:v>
                </c:pt>
                <c:pt idx="129">
                  <c:v>16772.8763553689</c:v>
                </c:pt>
                <c:pt idx="130">
                  <c:v>16932.8714042485</c:v>
                </c:pt>
                <c:pt idx="131">
                  <c:v>17090.0082782334</c:v>
                </c:pt>
                <c:pt idx="132">
                  <c:v>17250.0542614002</c:v>
                </c:pt>
                <c:pt idx="133">
                  <c:v>17411.0870895208</c:v>
                </c:pt>
                <c:pt idx="134">
                  <c:v>17565.8633143099</c:v>
                </c:pt>
                <c:pt idx="135">
                  <c:v>17724.514440511</c:v>
                </c:pt>
                <c:pt idx="136">
                  <c:v>17885.0583395544</c:v>
                </c:pt>
                <c:pt idx="137">
                  <c:v>18049.7337947151</c:v>
                </c:pt>
                <c:pt idx="138">
                  <c:v>18215.3768744859</c:v>
                </c:pt>
                <c:pt idx="139">
                  <c:v>18374.029495055</c:v>
                </c:pt>
                <c:pt idx="140">
                  <c:v>18533.3344334507</c:v>
                </c:pt>
                <c:pt idx="141">
                  <c:v>18693.2731520693</c:v>
                </c:pt>
                <c:pt idx="142">
                  <c:v>18845.426893833</c:v>
                </c:pt>
                <c:pt idx="143">
                  <c:v>19001.5275446624</c:v>
                </c:pt>
                <c:pt idx="144">
                  <c:v>19154.2822739661</c:v>
                </c:pt>
                <c:pt idx="145">
                  <c:v>19309.784696744</c:v>
                </c:pt>
                <c:pt idx="146">
                  <c:v>19468.1354753478</c:v>
                </c:pt>
                <c:pt idx="147">
                  <c:v>19628.1279449292</c:v>
                </c:pt>
                <c:pt idx="148">
                  <c:v>19800.5072754928</c:v>
                </c:pt>
                <c:pt idx="149">
                  <c:v>19969.5623299425</c:v>
                </c:pt>
                <c:pt idx="150">
                  <c:v>20140.5961149495</c:v>
                </c:pt>
                <c:pt idx="151">
                  <c:v>20313.6606622581</c:v>
                </c:pt>
                <c:pt idx="152">
                  <c:v>20481.5617649517</c:v>
                </c:pt>
                <c:pt idx="153">
                  <c:v>20646.878182267</c:v>
                </c:pt>
                <c:pt idx="154">
                  <c:v>20810.9003495434</c:v>
                </c:pt>
                <c:pt idx="155">
                  <c:v>20981.1647591242</c:v>
                </c:pt>
                <c:pt idx="156">
                  <c:v>21148.5864518257</c:v>
                </c:pt>
                <c:pt idx="157">
                  <c:v>21319.3145454672</c:v>
                </c:pt>
                <c:pt idx="158">
                  <c:v>21488.5965974225</c:v>
                </c:pt>
                <c:pt idx="159">
                  <c:v>21657.9384384915</c:v>
                </c:pt>
                <c:pt idx="160">
                  <c:v>21832.3577008412</c:v>
                </c:pt>
                <c:pt idx="161">
                  <c:v>21999.9984107042</c:v>
                </c:pt>
                <c:pt idx="162">
                  <c:v>22169.192633647</c:v>
                </c:pt>
                <c:pt idx="163">
                  <c:v>22330.9892737759</c:v>
                </c:pt>
                <c:pt idx="164">
                  <c:v>22492.2140196057</c:v>
                </c:pt>
                <c:pt idx="165">
                  <c:v>22650.9137161148</c:v>
                </c:pt>
                <c:pt idx="166">
                  <c:v>22816.3771401044</c:v>
                </c:pt>
                <c:pt idx="167">
                  <c:v>22987.0053198466</c:v>
                </c:pt>
                <c:pt idx="168">
                  <c:v>23159.0936981327</c:v>
                </c:pt>
                <c:pt idx="169">
                  <c:v>23328.6324108708</c:v>
                </c:pt>
                <c:pt idx="170">
                  <c:v>23503.6177210536</c:v>
                </c:pt>
                <c:pt idx="171">
                  <c:v>23682.2181636668</c:v>
                </c:pt>
                <c:pt idx="172">
                  <c:v>23860.3011647007</c:v>
                </c:pt>
                <c:pt idx="173">
                  <c:v>24031.1989603502</c:v>
                </c:pt>
                <c:pt idx="174">
                  <c:v>24207.7728798627</c:v>
                </c:pt>
                <c:pt idx="175">
                  <c:v>24383.4760614778</c:v>
                </c:pt>
                <c:pt idx="176">
                  <c:v>24565.1480745011</c:v>
                </c:pt>
                <c:pt idx="177">
                  <c:v>24736.4851878362</c:v>
                </c:pt>
                <c:pt idx="178">
                  <c:v>24920.967842822</c:v>
                </c:pt>
                <c:pt idx="179">
                  <c:v>25109.4732298114</c:v>
                </c:pt>
                <c:pt idx="180">
                  <c:v>25292.0634394097</c:v>
                </c:pt>
                <c:pt idx="181">
                  <c:v>25476.0108044661</c:v>
                </c:pt>
                <c:pt idx="182">
                  <c:v>25663.9573369352</c:v>
                </c:pt>
                <c:pt idx="183">
                  <c:v>25842.6000540925</c:v>
                </c:pt>
                <c:pt idx="184">
                  <c:v>26027.7641716039</c:v>
                </c:pt>
                <c:pt idx="185">
                  <c:v>26205.7353326813</c:v>
                </c:pt>
                <c:pt idx="186">
                  <c:v>26387.4473753262</c:v>
                </c:pt>
                <c:pt idx="187">
                  <c:v>26564.2707062258</c:v>
                </c:pt>
                <c:pt idx="188">
                  <c:v>26741.7964512548</c:v>
                </c:pt>
                <c:pt idx="189">
                  <c:v>26919.9920350807</c:v>
                </c:pt>
                <c:pt idx="190">
                  <c:v>27092.5935613507</c:v>
                </c:pt>
                <c:pt idx="191">
                  <c:v>27271.8891999212</c:v>
                </c:pt>
                <c:pt idx="192">
                  <c:v>27458.2292268492</c:v>
                </c:pt>
                <c:pt idx="193">
                  <c:v>27638.7201248775</c:v>
                </c:pt>
                <c:pt idx="194">
                  <c:v>27826.4480129359</c:v>
                </c:pt>
                <c:pt idx="195">
                  <c:v>28004.4940681611</c:v>
                </c:pt>
                <c:pt idx="196">
                  <c:v>28168.637314506</c:v>
                </c:pt>
                <c:pt idx="197">
                  <c:v>28350.3481869635</c:v>
                </c:pt>
                <c:pt idx="198">
                  <c:v>28521.2578119521</c:v>
                </c:pt>
                <c:pt idx="199">
                  <c:v>28695.6144618517</c:v>
                </c:pt>
                <c:pt idx="200">
                  <c:v>28865.9128115195</c:v>
                </c:pt>
                <c:pt idx="201">
                  <c:v>29043.5337087941</c:v>
                </c:pt>
                <c:pt idx="202">
                  <c:v>29240.8311806656</c:v>
                </c:pt>
                <c:pt idx="203">
                  <c:v>29422.3325986129</c:v>
                </c:pt>
                <c:pt idx="204">
                  <c:v>29607.726407916</c:v>
                </c:pt>
                <c:pt idx="205">
                  <c:v>29792.9276480563</c:v>
                </c:pt>
                <c:pt idx="206">
                  <c:v>29973.4903527551</c:v>
                </c:pt>
                <c:pt idx="207">
                  <c:v>30149.033439768</c:v>
                </c:pt>
                <c:pt idx="208">
                  <c:v>30323.6898850694</c:v>
                </c:pt>
                <c:pt idx="209">
                  <c:v>30492.716352431</c:v>
                </c:pt>
                <c:pt idx="210">
                  <c:v>30679.243544887</c:v>
                </c:pt>
                <c:pt idx="211">
                  <c:v>30860.2515895524</c:v>
                </c:pt>
                <c:pt idx="212">
                  <c:v>31050.0496994203</c:v>
                </c:pt>
                <c:pt idx="213">
                  <c:v>31239.0777132796</c:v>
                </c:pt>
                <c:pt idx="214">
                  <c:v>31422.0517389971</c:v>
                </c:pt>
                <c:pt idx="215">
                  <c:v>31608.9822648837</c:v>
                </c:pt>
                <c:pt idx="216">
                  <c:v>31773.253955712</c:v>
                </c:pt>
                <c:pt idx="217">
                  <c:v>31962.5527291721</c:v>
                </c:pt>
                <c:pt idx="218">
                  <c:v>32144.9127024807</c:v>
                </c:pt>
                <c:pt idx="219">
                  <c:v>32331.2023786506</c:v>
                </c:pt>
                <c:pt idx="220">
                  <c:v>32504.112142463</c:v>
                </c:pt>
                <c:pt idx="221">
                  <c:v>32716.2749372647</c:v>
                </c:pt>
                <c:pt idx="222">
                  <c:v>32891.0531450889</c:v>
                </c:pt>
                <c:pt idx="223">
                  <c:v>33088.1032710652</c:v>
                </c:pt>
                <c:pt idx="224">
                  <c:v>33264.285205298</c:v>
                </c:pt>
                <c:pt idx="225">
                  <c:v>33457.1229401606</c:v>
                </c:pt>
                <c:pt idx="226">
                  <c:v>33634.4329152557</c:v>
                </c:pt>
                <c:pt idx="227">
                  <c:v>33808.6831552429</c:v>
                </c:pt>
                <c:pt idx="228">
                  <c:v>34000.3502296778</c:v>
                </c:pt>
                <c:pt idx="229">
                  <c:v>34175.1479352631</c:v>
                </c:pt>
                <c:pt idx="230">
                  <c:v>34346.345608764</c:v>
                </c:pt>
                <c:pt idx="231">
                  <c:v>34543.0843138364</c:v>
                </c:pt>
                <c:pt idx="232">
                  <c:v>34721.8028229574</c:v>
                </c:pt>
                <c:pt idx="233">
                  <c:v>34911.9820713376</c:v>
                </c:pt>
                <c:pt idx="234">
                  <c:v>35090.7206626205</c:v>
                </c:pt>
                <c:pt idx="235">
                  <c:v>35305.3711373906</c:v>
                </c:pt>
                <c:pt idx="236">
                  <c:v>35484.2998196785</c:v>
                </c:pt>
                <c:pt idx="237">
                  <c:v>35675.4076495829</c:v>
                </c:pt>
                <c:pt idx="238">
                  <c:v>35862.2463556849</c:v>
                </c:pt>
                <c:pt idx="239">
                  <c:v>36044.4399526047</c:v>
                </c:pt>
                <c:pt idx="240">
                  <c:v>36257.4741405203</c:v>
                </c:pt>
                <c:pt idx="241">
                  <c:v>36448.2850390719</c:v>
                </c:pt>
                <c:pt idx="242">
                  <c:v>36634.0107639811</c:v>
                </c:pt>
                <c:pt idx="243">
                  <c:v>36833.4146615241</c:v>
                </c:pt>
                <c:pt idx="244">
                  <c:v>37037.5266719475</c:v>
                </c:pt>
                <c:pt idx="245">
                  <c:v>37236.5043850772</c:v>
                </c:pt>
                <c:pt idx="246">
                  <c:v>37440.1698698652</c:v>
                </c:pt>
                <c:pt idx="247">
                  <c:v>37617.1398060758</c:v>
                </c:pt>
                <c:pt idx="248">
                  <c:v>37927.6509537378</c:v>
                </c:pt>
                <c:pt idx="249">
                  <c:v>38148.4854385674</c:v>
                </c:pt>
                <c:pt idx="250">
                  <c:v>38363.635769513</c:v>
                </c:pt>
                <c:pt idx="251">
                  <c:v>38549.0627169794</c:v>
                </c:pt>
                <c:pt idx="252">
                  <c:v>38726.5884620085</c:v>
                </c:pt>
                <c:pt idx="253">
                  <c:v>38920.0555566064</c:v>
                </c:pt>
                <c:pt idx="254">
                  <c:v>39117.9514649792</c:v>
                </c:pt>
                <c:pt idx="255">
                  <c:v>39320.4837142842</c:v>
                </c:pt>
                <c:pt idx="256">
                  <c:v>39514.7660476964</c:v>
                </c:pt>
                <c:pt idx="257">
                  <c:v>39673.3980213107</c:v>
                </c:pt>
                <c:pt idx="258">
                  <c:v>39848.5990289884</c:v>
                </c:pt>
                <c:pt idx="259">
                  <c:v>40013.5363051942</c:v>
                </c:pt>
                <c:pt idx="260">
                  <c:v>40210.0265814098</c:v>
                </c:pt>
                <c:pt idx="261">
                  <c:v>40411.0868061924</c:v>
                </c:pt>
                <c:pt idx="262">
                  <c:v>40587.2260059782</c:v>
                </c:pt>
                <c:pt idx="263">
                  <c:v>40797.3627403065</c:v>
                </c:pt>
                <c:pt idx="264">
                  <c:v>40981.6368571961</c:v>
                </c:pt>
                <c:pt idx="265">
                  <c:v>41169.9245173928</c:v>
                </c:pt>
                <c:pt idx="266">
                  <c:v>41362.4044532169</c:v>
                </c:pt>
                <c:pt idx="267">
                  <c:v>41526.1441962814</c:v>
                </c:pt>
                <c:pt idx="268">
                  <c:v>41693.0451327451</c:v>
                </c:pt>
                <c:pt idx="269">
                  <c:v>41880.4361146565</c:v>
                </c:pt>
                <c:pt idx="270">
                  <c:v>42054.3896695961</c:v>
                </c:pt>
                <c:pt idx="271">
                  <c:v>42231.9154146252</c:v>
                </c:pt>
                <c:pt idx="272">
                  <c:v>42394.866416825</c:v>
                </c:pt>
                <c:pt idx="273">
                  <c:v>42598.2922730356</c:v>
                </c:pt>
                <c:pt idx="274">
                  <c:v>42749.3039729084</c:v>
                </c:pt>
                <c:pt idx="275">
                  <c:v>42883.6383072622</c:v>
                </c:pt>
                <c:pt idx="276">
                  <c:v>43079.239411175</c:v>
                </c:pt>
                <c:pt idx="277">
                  <c:v>43259.1460189717</c:v>
                </c:pt>
                <c:pt idx="278">
                  <c:v>43381.1979285113</c:v>
                </c:pt>
                <c:pt idx="279">
                  <c:v>43567.5687387487</c:v>
                </c:pt>
                <c:pt idx="280">
                  <c:v>43694.0861186271</c:v>
                </c:pt>
                <c:pt idx="281">
                  <c:v>43865.7086281192</c:v>
                </c:pt>
                <c:pt idx="282">
                  <c:v>44018.7250120589</c:v>
                </c:pt>
                <c:pt idx="283">
                  <c:v>44152.0726429181</c:v>
                </c:pt>
                <c:pt idx="284">
                  <c:v>44310.2898692369</c:v>
                </c:pt>
                <c:pt idx="285">
                  <c:v>44425.1016496073</c:v>
                </c:pt>
                <c:pt idx="286">
                  <c:v>44588.4436206141</c:v>
                </c:pt>
                <c:pt idx="287">
                  <c:v>44754.9312967226</c:v>
                </c:pt>
                <c:pt idx="288">
                  <c:v>44924.6882236157</c:v>
                </c:pt>
                <c:pt idx="289">
                  <c:v>45097.8453712864</c:v>
                </c:pt>
                <c:pt idx="290">
                  <c:v>45249.0772160517</c:v>
                </c:pt>
                <c:pt idx="291">
                  <c:v>45403.0017569333</c:v>
                </c:pt>
                <c:pt idx="292">
                  <c:v>45481.0040906057</c:v>
                </c:pt>
                <c:pt idx="293">
                  <c:v>45639.1524031384</c:v>
                </c:pt>
                <c:pt idx="294">
                  <c:v>45800.2477476199</c:v>
                </c:pt>
                <c:pt idx="295">
                  <c:v>45909.3368922401</c:v>
                </c:pt>
                <c:pt idx="296">
                  <c:v>46047.6630432483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"Computed altitude (2)"</c:f>
              <c:strCache>
                <c:ptCount val="1"/>
                <c:pt idx="0">
                  <c:v>Computed altitude (2)</c:v>
                </c:pt>
              </c:strCache>
            </c:strRef>
          </c:tx>
          <c:spPr>
            <a:solidFill>
              <a:srgbClr val="579D1C"/>
            </a:solidFill>
            <a:ln w="14400">
              <a:solidFill>
                <a:srgbClr val="579D1C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44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'Flight data'!$D$4:$D$300</c:f>
              <c:numCache>
                <c:formatCode>0.0</c:formatCode>
                <c:ptCount val="297"/>
                <c:pt idx="0">
                  <c:v>1007.26084220716</c:v>
                </c:pt>
                <c:pt idx="1">
                  <c:v>1007.24485317844</c:v>
                </c:pt>
                <c:pt idx="2">
                  <c:v>1001.32891255244</c:v>
                </c:pt>
                <c:pt idx="3">
                  <c:v>986.858841561794</c:v>
                </c:pt>
                <c:pt idx="4">
                  <c:v>975.730477573411</c:v>
                </c:pt>
                <c:pt idx="5">
                  <c:v>965.577444336883</c:v>
                </c:pt>
                <c:pt idx="6">
                  <c:v>950.243965795418</c:v>
                </c:pt>
                <c:pt idx="7">
                  <c:v>933.039770893837</c:v>
                </c:pt>
                <c:pt idx="8">
                  <c:v>916.778928686673</c:v>
                </c:pt>
                <c:pt idx="9">
                  <c:v>905.026992578251</c:v>
                </c:pt>
                <c:pt idx="10">
                  <c:v>893.370990642143</c:v>
                </c:pt>
                <c:pt idx="11">
                  <c:v>881.619054533721</c:v>
                </c:pt>
                <c:pt idx="12">
                  <c:v>869.771184252985</c:v>
                </c:pt>
                <c:pt idx="13">
                  <c:v>859.330348499516</c:v>
                </c:pt>
                <c:pt idx="14">
                  <c:v>848.313907712165</c:v>
                </c:pt>
                <c:pt idx="15">
                  <c:v>837.169554695063</c:v>
                </c:pt>
                <c:pt idx="16">
                  <c:v>826.025201677961</c:v>
                </c:pt>
                <c:pt idx="17">
                  <c:v>815.744256211681</c:v>
                </c:pt>
                <c:pt idx="18">
                  <c:v>805.19149725718</c:v>
                </c:pt>
                <c:pt idx="19">
                  <c:v>794.46285898677</c:v>
                </c:pt>
                <c:pt idx="20">
                  <c:v>784.373781865118</c:v>
                </c:pt>
                <c:pt idx="21">
                  <c:v>775.43591481123</c:v>
                </c:pt>
                <c:pt idx="22">
                  <c:v>764.355517909003</c:v>
                </c:pt>
                <c:pt idx="23">
                  <c:v>753.962649241691</c:v>
                </c:pt>
                <c:pt idx="24">
                  <c:v>743.905550177477</c:v>
                </c:pt>
                <c:pt idx="25">
                  <c:v>731.929767666989</c:v>
                </c:pt>
                <c:pt idx="26">
                  <c:v>719.666182639561</c:v>
                </c:pt>
                <c:pt idx="27">
                  <c:v>709.433204259439</c:v>
                </c:pt>
                <c:pt idx="28">
                  <c:v>699.631929654727</c:v>
                </c:pt>
                <c:pt idx="29">
                  <c:v>689.958567279768</c:v>
                </c:pt>
                <c:pt idx="30">
                  <c:v>680.045369474024</c:v>
                </c:pt>
                <c:pt idx="31">
                  <c:v>670.244094869313</c:v>
                </c:pt>
                <c:pt idx="32">
                  <c:v>661.769909648274</c:v>
                </c:pt>
                <c:pt idx="33">
                  <c:v>653.391658599548</c:v>
                </c:pt>
                <c:pt idx="34">
                  <c:v>645.20527589545</c:v>
                </c:pt>
                <c:pt idx="35">
                  <c:v>637.082849306228</c:v>
                </c:pt>
                <c:pt idx="36">
                  <c:v>628.928444659568</c:v>
                </c:pt>
                <c:pt idx="37">
                  <c:v>620.774040012907</c:v>
                </c:pt>
                <c:pt idx="38">
                  <c:v>612.42776702162</c:v>
                </c:pt>
                <c:pt idx="39">
                  <c:v>602.706437560503</c:v>
                </c:pt>
                <c:pt idx="40">
                  <c:v>594.935769603098</c:v>
                </c:pt>
                <c:pt idx="41">
                  <c:v>587.372959019038</c:v>
                </c:pt>
                <c:pt idx="42">
                  <c:v>580.049983865763</c:v>
                </c:pt>
                <c:pt idx="43">
                  <c:v>572.854920942239</c:v>
                </c:pt>
                <c:pt idx="44">
                  <c:v>565.579912875121</c:v>
                </c:pt>
                <c:pt idx="45">
                  <c:v>558.320893836722</c:v>
                </c:pt>
                <c:pt idx="46">
                  <c:v>550.949951597289</c:v>
                </c:pt>
                <c:pt idx="47">
                  <c:v>544.010713133269</c:v>
                </c:pt>
                <c:pt idx="48">
                  <c:v>537.055485640529</c:v>
                </c:pt>
                <c:pt idx="49">
                  <c:v>530.116247176509</c:v>
                </c:pt>
                <c:pt idx="50">
                  <c:v>523.017118425298</c:v>
                </c:pt>
                <c:pt idx="51">
                  <c:v>515.74211035818</c:v>
                </c:pt>
                <c:pt idx="52">
                  <c:v>508.738915779284</c:v>
                </c:pt>
                <c:pt idx="53">
                  <c:v>501.799677315263</c:v>
                </c:pt>
                <c:pt idx="54">
                  <c:v>494.956373023556</c:v>
                </c:pt>
                <c:pt idx="55">
                  <c:v>488.177024846725</c:v>
                </c:pt>
                <c:pt idx="56">
                  <c:v>481.845369474024</c:v>
                </c:pt>
                <c:pt idx="57">
                  <c:v>475.529703130042</c:v>
                </c:pt>
                <c:pt idx="58">
                  <c:v>469.262003872217</c:v>
                </c:pt>
                <c:pt idx="59">
                  <c:v>463.02628267183</c:v>
                </c:pt>
                <c:pt idx="60">
                  <c:v>456.966440787351</c:v>
                </c:pt>
                <c:pt idx="61">
                  <c:v>450.986544046467</c:v>
                </c:pt>
                <c:pt idx="62">
                  <c:v>445.006647305582</c:v>
                </c:pt>
                <c:pt idx="63">
                  <c:v>439.60235559858</c:v>
                </c:pt>
                <c:pt idx="64">
                  <c:v>433.974217489513</c:v>
                </c:pt>
                <c:pt idx="65">
                  <c:v>428.442013552759</c:v>
                </c:pt>
                <c:pt idx="66">
                  <c:v>422.781897386254</c:v>
                </c:pt>
                <c:pt idx="67">
                  <c:v>417.345627621814</c:v>
                </c:pt>
                <c:pt idx="68">
                  <c:v>411.749467570184</c:v>
                </c:pt>
                <c:pt idx="69">
                  <c:v>405.625669570829</c:v>
                </c:pt>
                <c:pt idx="70">
                  <c:v>399.949564375605</c:v>
                </c:pt>
                <c:pt idx="71">
                  <c:v>394.305437237819</c:v>
                </c:pt>
                <c:pt idx="72">
                  <c:v>388.773233301065</c:v>
                </c:pt>
                <c:pt idx="73">
                  <c:v>383.400919651501</c:v>
                </c:pt>
                <c:pt idx="74">
                  <c:v>378.076573088093</c:v>
                </c:pt>
                <c:pt idx="75">
                  <c:v>372.704259438529</c:v>
                </c:pt>
                <c:pt idx="76">
                  <c:v>366.692384640207</c:v>
                </c:pt>
                <c:pt idx="77">
                  <c:v>359.913036463375</c:v>
                </c:pt>
                <c:pt idx="78">
                  <c:v>354.125008067119</c:v>
                </c:pt>
                <c:pt idx="79">
                  <c:v>348.768683446273</c:v>
                </c:pt>
                <c:pt idx="80">
                  <c:v>343.604227170055</c:v>
                </c:pt>
                <c:pt idx="81">
                  <c:v>338.519716037431</c:v>
                </c:pt>
                <c:pt idx="82">
                  <c:v>333.40322684737</c:v>
                </c:pt>
                <c:pt idx="83">
                  <c:v>328.238770571152</c:v>
                </c:pt>
                <c:pt idx="84">
                  <c:v>323.298160696999</c:v>
                </c:pt>
                <c:pt idx="85">
                  <c:v>318.229638593095</c:v>
                </c:pt>
                <c:pt idx="86">
                  <c:v>313.033204259439</c:v>
                </c:pt>
                <c:pt idx="87">
                  <c:v>307.948693126815</c:v>
                </c:pt>
                <c:pt idx="88">
                  <c:v>302.992094223943</c:v>
                </c:pt>
                <c:pt idx="89">
                  <c:v>297.971539206196</c:v>
                </c:pt>
                <c:pt idx="90">
                  <c:v>292.950984188448</c:v>
                </c:pt>
                <c:pt idx="91">
                  <c:v>287.994385285576</c:v>
                </c:pt>
                <c:pt idx="92">
                  <c:v>283.085753468861</c:v>
                </c:pt>
                <c:pt idx="93">
                  <c:v>277.825363020329</c:v>
                </c:pt>
                <c:pt idx="94">
                  <c:v>272.708873830268</c:v>
                </c:pt>
                <c:pt idx="95">
                  <c:v>268.247934817683</c:v>
                </c:pt>
                <c:pt idx="96">
                  <c:v>263.866940948693</c:v>
                </c:pt>
                <c:pt idx="97">
                  <c:v>259.67781542433</c:v>
                </c:pt>
                <c:pt idx="98">
                  <c:v>255.568635043562</c:v>
                </c:pt>
                <c:pt idx="99">
                  <c:v>251.52341077767</c:v>
                </c:pt>
                <c:pt idx="100">
                  <c:v>247.510164569216</c:v>
                </c:pt>
                <c:pt idx="101">
                  <c:v>243.257082929977</c:v>
                </c:pt>
                <c:pt idx="102">
                  <c:v>238.98801226202</c:v>
                </c:pt>
                <c:pt idx="103">
                  <c:v>235.038722168441</c:v>
                </c:pt>
                <c:pt idx="104">
                  <c:v>231.057454017425</c:v>
                </c:pt>
                <c:pt idx="105">
                  <c:v>227.108163923846</c:v>
                </c:pt>
                <c:pt idx="106">
                  <c:v>223.334753146176</c:v>
                </c:pt>
                <c:pt idx="107">
                  <c:v>219.561342368506</c:v>
                </c:pt>
                <c:pt idx="108">
                  <c:v>215.755953533398</c:v>
                </c:pt>
                <c:pt idx="109">
                  <c:v>211.95056469829</c:v>
                </c:pt>
                <c:pt idx="110">
                  <c:v>208.17715392062</c:v>
                </c:pt>
                <c:pt idx="111">
                  <c:v>204.531655372701</c:v>
                </c:pt>
                <c:pt idx="112">
                  <c:v>201.030058083253</c:v>
                </c:pt>
                <c:pt idx="113">
                  <c:v>197.576427879961</c:v>
                </c:pt>
                <c:pt idx="114">
                  <c:v>193.994885446918</c:v>
                </c:pt>
                <c:pt idx="115">
                  <c:v>190.605211358503</c:v>
                </c:pt>
                <c:pt idx="116">
                  <c:v>187.231526298806</c:v>
                </c:pt>
                <c:pt idx="117">
                  <c:v>183.873830267828</c:v>
                </c:pt>
                <c:pt idx="118">
                  <c:v>180.580090351726</c:v>
                </c:pt>
                <c:pt idx="119">
                  <c:v>177.270361406905</c:v>
                </c:pt>
                <c:pt idx="120">
                  <c:v>174.040577605679</c:v>
                </c:pt>
                <c:pt idx="121">
                  <c:v>170.55496934495</c:v>
                </c:pt>
                <c:pt idx="122">
                  <c:v>166.78155856728</c:v>
                </c:pt>
                <c:pt idx="123">
                  <c:v>163.631719909648</c:v>
                </c:pt>
                <c:pt idx="124">
                  <c:v>160.641771539206</c:v>
                </c:pt>
                <c:pt idx="125">
                  <c:v>157.779735398516</c:v>
                </c:pt>
                <c:pt idx="126">
                  <c:v>154.917699257825</c:v>
                </c:pt>
                <c:pt idx="127">
                  <c:v>152.167586318167</c:v>
                </c:pt>
                <c:pt idx="128">
                  <c:v>149.433462407228</c:v>
                </c:pt>
                <c:pt idx="129">
                  <c:v>146.491481122943</c:v>
                </c:pt>
                <c:pt idx="130">
                  <c:v>143.805324298161</c:v>
                </c:pt>
                <c:pt idx="131">
                  <c:v>141.215101645692</c:v>
                </c:pt>
                <c:pt idx="132">
                  <c:v>138.624878993224</c:v>
                </c:pt>
                <c:pt idx="133">
                  <c:v>136.066634398193</c:v>
                </c:pt>
                <c:pt idx="134">
                  <c:v>133.652291061633</c:v>
                </c:pt>
                <c:pt idx="135">
                  <c:v>131.221958696354</c:v>
                </c:pt>
                <c:pt idx="136">
                  <c:v>128.807615359794</c:v>
                </c:pt>
                <c:pt idx="137">
                  <c:v>126.377282994514</c:v>
                </c:pt>
                <c:pt idx="138">
                  <c:v>123.978928686673</c:v>
                </c:pt>
                <c:pt idx="139">
                  <c:v>121.724475637302</c:v>
                </c:pt>
                <c:pt idx="140">
                  <c:v>119.502000645369</c:v>
                </c:pt>
                <c:pt idx="141">
                  <c:v>117.311503710874</c:v>
                </c:pt>
                <c:pt idx="142">
                  <c:v>115.26490803485</c:v>
                </c:pt>
                <c:pt idx="143">
                  <c:v>113.202323330106</c:v>
                </c:pt>
                <c:pt idx="144">
                  <c:v>111.219683768958</c:v>
                </c:pt>
                <c:pt idx="145">
                  <c:v>109.237044207809</c:v>
                </c:pt>
                <c:pt idx="146">
                  <c:v>107.25440464666</c:v>
                </c:pt>
                <c:pt idx="147">
                  <c:v>105.28775411423</c:v>
                </c:pt>
                <c:pt idx="148">
                  <c:v>103.209180380768</c:v>
                </c:pt>
                <c:pt idx="149">
                  <c:v>101.2105517909</c:v>
                </c:pt>
                <c:pt idx="150">
                  <c:v>99.2279122297515</c:v>
                </c:pt>
                <c:pt idx="151">
                  <c:v>97.2612616973217</c:v>
                </c:pt>
                <c:pt idx="152">
                  <c:v>95.3905453372056</c:v>
                </c:pt>
                <c:pt idx="153">
                  <c:v>93.5837850919652</c:v>
                </c:pt>
                <c:pt idx="154">
                  <c:v>91.8249919328816</c:v>
                </c:pt>
                <c:pt idx="155">
                  <c:v>90.0342207163601</c:v>
                </c:pt>
                <c:pt idx="156">
                  <c:v>88.3074056147144</c:v>
                </c:pt>
                <c:pt idx="157">
                  <c:v>86.5805905130687</c:v>
                </c:pt>
                <c:pt idx="158">
                  <c:v>84.9017424975799</c:v>
                </c:pt>
                <c:pt idx="159">
                  <c:v>83.2548725395289</c:v>
                </c:pt>
                <c:pt idx="160">
                  <c:v>81.592013552759</c:v>
                </c:pt>
                <c:pt idx="161">
                  <c:v>80.0250887383027</c:v>
                </c:pt>
                <c:pt idx="162">
                  <c:v>78.4741529525654</c:v>
                </c:pt>
                <c:pt idx="163">
                  <c:v>77.0191513391417</c:v>
                </c:pt>
                <c:pt idx="164">
                  <c:v>75.5961277831559</c:v>
                </c:pt>
                <c:pt idx="165">
                  <c:v>74.2210713133269</c:v>
                </c:pt>
                <c:pt idx="166">
                  <c:v>72.81403678606</c:v>
                </c:pt>
                <c:pt idx="167">
                  <c:v>71.3910132300742</c:v>
                </c:pt>
                <c:pt idx="168">
                  <c:v>69.9839787028074</c:v>
                </c:pt>
                <c:pt idx="169">
                  <c:v>68.6249112616973</c:v>
                </c:pt>
                <c:pt idx="170">
                  <c:v>67.2498547918683</c:v>
                </c:pt>
                <c:pt idx="171">
                  <c:v>65.8747983220394</c:v>
                </c:pt>
                <c:pt idx="172">
                  <c:v>64.5317199096483</c:v>
                </c:pt>
                <c:pt idx="173">
                  <c:v>63.2685866408519</c:v>
                </c:pt>
                <c:pt idx="174">
                  <c:v>61.9894643433366</c:v>
                </c:pt>
                <c:pt idx="175">
                  <c:v>60.7423201032591</c:v>
                </c:pt>
                <c:pt idx="176">
                  <c:v>59.4791868344627</c:v>
                </c:pt>
                <c:pt idx="177">
                  <c:v>58.31198773798</c:v>
                </c:pt>
                <c:pt idx="178">
                  <c:v>57.0808325266215</c:v>
                </c:pt>
                <c:pt idx="179">
                  <c:v>55.849677315263</c:v>
                </c:pt>
                <c:pt idx="180">
                  <c:v>54.6824782187803</c:v>
                </c:pt>
                <c:pt idx="181">
                  <c:v>53.5312681510165</c:v>
                </c:pt>
                <c:pt idx="182">
                  <c:v>52.3800580832527</c:v>
                </c:pt>
                <c:pt idx="183">
                  <c:v>51.3087931590836</c:v>
                </c:pt>
                <c:pt idx="184">
                  <c:v>50.2215392061955</c:v>
                </c:pt>
                <c:pt idx="185">
                  <c:v>49.1982413681833</c:v>
                </c:pt>
                <c:pt idx="186">
                  <c:v>48.174943530171</c:v>
                </c:pt>
                <c:pt idx="187">
                  <c:v>47.1996127783156</c:v>
                </c:pt>
                <c:pt idx="188">
                  <c:v>46.2402710551791</c:v>
                </c:pt>
                <c:pt idx="189">
                  <c:v>45.2969183607615</c:v>
                </c:pt>
                <c:pt idx="190">
                  <c:v>44.4015327525008</c:v>
                </c:pt>
                <c:pt idx="191">
                  <c:v>43.4901581155211</c:v>
                </c:pt>
                <c:pt idx="192">
                  <c:v>42.5627944498225</c:v>
                </c:pt>
                <c:pt idx="193">
                  <c:v>41.6833978702807</c:v>
                </c:pt>
                <c:pt idx="194">
                  <c:v>40.78801226202</c:v>
                </c:pt>
                <c:pt idx="195">
                  <c:v>39.956582768635</c:v>
                </c:pt>
                <c:pt idx="196">
                  <c:v>39.2050984188448</c:v>
                </c:pt>
                <c:pt idx="197">
                  <c:v>38.3896579541788</c:v>
                </c:pt>
                <c:pt idx="198">
                  <c:v>37.6381736043885</c:v>
                </c:pt>
                <c:pt idx="199">
                  <c:v>36.8866892545983</c:v>
                </c:pt>
                <c:pt idx="200">
                  <c:v>36.1671829622459</c:v>
                </c:pt>
                <c:pt idx="201">
                  <c:v>35.4316876411746</c:v>
                </c:pt>
                <c:pt idx="202">
                  <c:v>34.6322362052275</c:v>
                </c:pt>
                <c:pt idx="203">
                  <c:v>33.9127299128751</c:v>
                </c:pt>
                <c:pt idx="204">
                  <c:v>33.1932236205228</c:v>
                </c:pt>
                <c:pt idx="205">
                  <c:v>32.4897063568893</c:v>
                </c:pt>
                <c:pt idx="206">
                  <c:v>31.8181671506938</c:v>
                </c:pt>
                <c:pt idx="207">
                  <c:v>31.1786060019361</c:v>
                </c:pt>
                <c:pt idx="208">
                  <c:v>30.5550338818974</c:v>
                </c:pt>
                <c:pt idx="209">
                  <c:v>29.9634398192965</c:v>
                </c:pt>
                <c:pt idx="210">
                  <c:v>29.3238786705389</c:v>
                </c:pt>
                <c:pt idx="211">
                  <c:v>28.7162955792191</c:v>
                </c:pt>
                <c:pt idx="212">
                  <c:v>28.0927234591804</c:v>
                </c:pt>
                <c:pt idx="213">
                  <c:v>27.4851403678606</c:v>
                </c:pt>
                <c:pt idx="214">
                  <c:v>26.9095353339787</c:v>
                </c:pt>
                <c:pt idx="215">
                  <c:v>26.3339303000968</c:v>
                </c:pt>
                <c:pt idx="216">
                  <c:v>25.8382704098096</c:v>
                </c:pt>
                <c:pt idx="217">
                  <c:v>25.2786544046467</c:v>
                </c:pt>
                <c:pt idx="218">
                  <c:v>24.7510164569216</c:v>
                </c:pt>
                <c:pt idx="219">
                  <c:v>24.2233785091965</c:v>
                </c:pt>
                <c:pt idx="220">
                  <c:v>23.7437076476283</c:v>
                </c:pt>
                <c:pt idx="221">
                  <c:v>23.1681026137464</c:v>
                </c:pt>
                <c:pt idx="222">
                  <c:v>22.7044207808971</c:v>
                </c:pt>
                <c:pt idx="223">
                  <c:v>22.1927718618909</c:v>
                </c:pt>
                <c:pt idx="224">
                  <c:v>21.7450790577606</c:v>
                </c:pt>
                <c:pt idx="225">
                  <c:v>21.2654081961923</c:v>
                </c:pt>
                <c:pt idx="226">
                  <c:v>20.8337044207809</c:v>
                </c:pt>
                <c:pt idx="227">
                  <c:v>20.4179896740884</c:v>
                </c:pt>
                <c:pt idx="228">
                  <c:v>19.9702968699581</c:v>
                </c:pt>
                <c:pt idx="229">
                  <c:v>19.5705711519845</c:v>
                </c:pt>
                <c:pt idx="230">
                  <c:v>19.1868344627299</c:v>
                </c:pt>
                <c:pt idx="231">
                  <c:v>18.7551306873185</c:v>
                </c:pt>
                <c:pt idx="232">
                  <c:v>18.3713939980639</c:v>
                </c:pt>
                <c:pt idx="233">
                  <c:v>17.9716682800904</c:v>
                </c:pt>
                <c:pt idx="234">
                  <c:v>17.6039206195547</c:v>
                </c:pt>
                <c:pt idx="235">
                  <c:v>17.1722168441433</c:v>
                </c:pt>
                <c:pt idx="236">
                  <c:v>16.8204582123266</c:v>
                </c:pt>
                <c:pt idx="237">
                  <c:v>16.4527105517909</c:v>
                </c:pt>
                <c:pt idx="238">
                  <c:v>16.1009519199742</c:v>
                </c:pt>
                <c:pt idx="239">
                  <c:v>15.7651823168764</c:v>
                </c:pt>
                <c:pt idx="240">
                  <c:v>15.3814456276218</c:v>
                </c:pt>
                <c:pt idx="241">
                  <c:v>15.045676024524</c:v>
                </c:pt>
                <c:pt idx="242">
                  <c:v>14.7258954501452</c:v>
                </c:pt>
                <c:pt idx="243">
                  <c:v>14.3901258470474</c:v>
                </c:pt>
                <c:pt idx="244">
                  <c:v>14.0543562439497</c:v>
                </c:pt>
                <c:pt idx="245">
                  <c:v>13.7345756695708</c:v>
                </c:pt>
                <c:pt idx="246">
                  <c:v>13.414795095192</c:v>
                </c:pt>
                <c:pt idx="247">
                  <c:v>13.14298160697</c:v>
                </c:pt>
                <c:pt idx="248">
                  <c:v>12.6792997741207</c:v>
                </c:pt>
                <c:pt idx="249">
                  <c:v>12.3595191997419</c:v>
                </c:pt>
                <c:pt idx="250">
                  <c:v>12.055727654082</c:v>
                </c:pt>
                <c:pt idx="251">
                  <c:v>11.7999031945789</c:v>
                </c:pt>
                <c:pt idx="252">
                  <c:v>11.5600677637948</c:v>
                </c:pt>
                <c:pt idx="253">
                  <c:v>11.3042433042917</c:v>
                </c:pt>
                <c:pt idx="254">
                  <c:v>11.0484188447886</c:v>
                </c:pt>
                <c:pt idx="255">
                  <c:v>10.7925943852856</c:v>
                </c:pt>
                <c:pt idx="256">
                  <c:v>10.5527589545015</c:v>
                </c:pt>
                <c:pt idx="257">
                  <c:v>10.3608906098742</c:v>
                </c:pt>
                <c:pt idx="258">
                  <c:v>10.1530332365279</c:v>
                </c:pt>
                <c:pt idx="259">
                  <c:v>9.96116489190061</c:v>
                </c:pt>
                <c:pt idx="260">
                  <c:v>9.73731848983543</c:v>
                </c:pt>
                <c:pt idx="261">
                  <c:v>9.51347208777025</c:v>
                </c:pt>
                <c:pt idx="262">
                  <c:v>9.32160374314295</c:v>
                </c:pt>
                <c:pt idx="263">
                  <c:v>9.09775734107777</c:v>
                </c:pt>
                <c:pt idx="264">
                  <c:v>8.90588899645047</c:v>
                </c:pt>
                <c:pt idx="265">
                  <c:v>8.71402065182317</c:v>
                </c:pt>
                <c:pt idx="266">
                  <c:v>8.52215230719587</c:v>
                </c:pt>
                <c:pt idx="267">
                  <c:v>8.36226202000646</c:v>
                </c:pt>
                <c:pt idx="268">
                  <c:v>8.20237173281704</c:v>
                </c:pt>
                <c:pt idx="269">
                  <c:v>8.02649241690868</c:v>
                </c:pt>
                <c:pt idx="270">
                  <c:v>7.86660212971926</c:v>
                </c:pt>
                <c:pt idx="271">
                  <c:v>7.70671184252985</c:v>
                </c:pt>
                <c:pt idx="272">
                  <c:v>7.56281058405937</c:v>
                </c:pt>
                <c:pt idx="273">
                  <c:v>7.38693126815102</c:v>
                </c:pt>
                <c:pt idx="274">
                  <c:v>7.25901903839948</c:v>
                </c:pt>
                <c:pt idx="275">
                  <c:v>7.14709583736689</c:v>
                </c:pt>
                <c:pt idx="276">
                  <c:v>6.98720555017748</c:v>
                </c:pt>
                <c:pt idx="277">
                  <c:v>6.843304291707</c:v>
                </c:pt>
                <c:pt idx="278">
                  <c:v>6.74737011939335</c:v>
                </c:pt>
                <c:pt idx="279">
                  <c:v>6.60346886092288</c:v>
                </c:pt>
                <c:pt idx="280">
                  <c:v>6.50753468860923</c:v>
                </c:pt>
                <c:pt idx="281">
                  <c:v>6.3796224588577</c:v>
                </c:pt>
                <c:pt idx="282">
                  <c:v>6.26769925782511</c:v>
                </c:pt>
                <c:pt idx="283">
                  <c:v>6.17176508551146</c:v>
                </c:pt>
                <c:pt idx="284">
                  <c:v>6.05984188447886</c:v>
                </c:pt>
                <c:pt idx="285">
                  <c:v>5.97989674088416</c:v>
                </c:pt>
                <c:pt idx="286">
                  <c:v>5.86797353985156</c:v>
                </c:pt>
                <c:pt idx="287">
                  <c:v>5.75605033881897</c:v>
                </c:pt>
                <c:pt idx="288">
                  <c:v>5.64412713778638</c:v>
                </c:pt>
                <c:pt idx="289">
                  <c:v>5.53220393675379</c:v>
                </c:pt>
                <c:pt idx="290">
                  <c:v>5.43626976444014</c:v>
                </c:pt>
                <c:pt idx="291">
                  <c:v>5.34033559212649</c:v>
                </c:pt>
                <c:pt idx="292">
                  <c:v>5.29236850596967</c:v>
                </c:pt>
                <c:pt idx="293">
                  <c:v>5.19643433365602</c:v>
                </c:pt>
                <c:pt idx="294">
                  <c:v>5.10050016134237</c:v>
                </c:pt>
                <c:pt idx="295">
                  <c:v>5.0365440464666</c:v>
                </c:pt>
                <c:pt idx="296">
                  <c:v>4.95659890287189</c:v>
                </c:pt>
              </c:numCache>
            </c:numRef>
          </c:xVal>
          <c:yVal>
            <c:numRef>
              <c:f>'Flight data'!$L$4:$L$300</c:f>
              <c:numCache>
                <c:formatCode>0.0</c:formatCode>
                <c:ptCount val="297"/>
                <c:pt idx="0">
                  <c:v>104.726796400222</c:v>
                </c:pt>
                <c:pt idx="1">
                  <c:v>104.868845153301</c:v>
                </c:pt>
                <c:pt idx="2">
                  <c:v>157.128873018695</c:v>
                </c:pt>
                <c:pt idx="3">
                  <c:v>285.089619893727</c:v>
                </c:pt>
                <c:pt idx="4">
                  <c:v>383.7900941317</c:v>
                </c:pt>
                <c:pt idx="5">
                  <c:v>474.376828969699</c:v>
                </c:pt>
                <c:pt idx="6">
                  <c:v>612.534860680936</c:v>
                </c:pt>
                <c:pt idx="7">
                  <c:v>769.442021626133</c:v>
                </c:pt>
                <c:pt idx="8">
                  <c:v>920.011742745931</c:v>
                </c:pt>
                <c:pt idx="9">
                  <c:v>1029.88335809763</c:v>
                </c:pt>
                <c:pt idx="10">
                  <c:v>1140.59086370319</c:v>
                </c:pt>
                <c:pt idx="11">
                  <c:v>1254.58307378822</c:v>
                </c:pt>
                <c:pt idx="12">
                  <c:v>1369.77865028175</c:v>
                </c:pt>
                <c:pt idx="13">
                  <c:v>1473.56817952021</c:v>
                </c:pt>
                <c:pt idx="14">
                  <c:v>1583.58904881671</c:v>
                </c:pt>
                <c:pt idx="15">
                  <c:v>1695.92872600379</c:v>
                </c:pt>
                <c:pt idx="16">
                  <c:v>1809.18516641684</c:v>
                </c:pt>
                <c:pt idx="17">
                  <c:v>1914.84652862685</c:v>
                </c:pt>
                <c:pt idx="18">
                  <c:v>2025.29611457965</c:v>
                </c:pt>
                <c:pt idx="19">
                  <c:v>2137.22657442033</c:v>
                </c:pt>
                <c:pt idx="20">
                  <c:v>2242.16805938993</c:v>
                </c:pt>
                <c:pt idx="21">
                  <c:v>2336.66489653229</c:v>
                </c:pt>
                <c:pt idx="22">
                  <c:v>2456.24371232846</c:v>
                </c:pt>
                <c:pt idx="23">
                  <c:v>2570.35837787281</c:v>
                </c:pt>
                <c:pt idx="24">
                  <c:v>2682.600788049</c:v>
                </c:pt>
                <c:pt idx="25">
                  <c:v>2816.28236917717</c:v>
                </c:pt>
                <c:pt idx="26">
                  <c:v>2953.04851949403</c:v>
                </c:pt>
                <c:pt idx="27">
                  <c:v>3071.29932526259</c:v>
                </c:pt>
                <c:pt idx="28">
                  <c:v>3186.0172002962</c:v>
                </c:pt>
                <c:pt idx="29">
                  <c:v>3298.75044707316</c:v>
                </c:pt>
                <c:pt idx="30">
                  <c:v>3414.40449075964</c:v>
                </c:pt>
                <c:pt idx="31">
                  <c:v>3527.77536345784</c:v>
                </c:pt>
                <c:pt idx="32">
                  <c:v>3630.19004312413</c:v>
                </c:pt>
                <c:pt idx="33">
                  <c:v>3732.26424673788</c:v>
                </c:pt>
                <c:pt idx="34">
                  <c:v>3831.85301864157</c:v>
                </c:pt>
                <c:pt idx="35">
                  <c:v>3930.03937931198</c:v>
                </c:pt>
                <c:pt idx="36">
                  <c:v>4030.26074985672</c:v>
                </c:pt>
                <c:pt idx="37">
                  <c:v>4132.65912342969</c:v>
                </c:pt>
                <c:pt idx="38">
                  <c:v>4235.1092856917</c:v>
                </c:pt>
                <c:pt idx="39">
                  <c:v>4354.65787229919</c:v>
                </c:pt>
                <c:pt idx="40">
                  <c:v>4452.02863364408</c:v>
                </c:pt>
                <c:pt idx="41">
                  <c:v>4553.97291247234</c:v>
                </c:pt>
                <c:pt idx="42">
                  <c:v>4646.96975585346</c:v>
                </c:pt>
                <c:pt idx="43">
                  <c:v>4743.3692579445</c:v>
                </c:pt>
                <c:pt idx="44">
                  <c:v>4847.29304585528</c:v>
                </c:pt>
                <c:pt idx="45">
                  <c:v>4947.6855645883</c:v>
                </c:pt>
                <c:pt idx="46">
                  <c:v>5046.46215690398</c:v>
                </c:pt>
                <c:pt idx="47">
                  <c:v>5140.36032991747</c:v>
                </c:pt>
                <c:pt idx="48">
                  <c:v>5233.8868629754</c:v>
                </c:pt>
                <c:pt idx="49">
                  <c:v>5325.55071955991</c:v>
                </c:pt>
                <c:pt idx="50">
                  <c:v>5422.09857173943</c:v>
                </c:pt>
                <c:pt idx="51">
                  <c:v>5520.07210228027</c:v>
                </c:pt>
                <c:pt idx="52">
                  <c:v>5633.34374784321</c:v>
                </c:pt>
                <c:pt idx="53">
                  <c:v>5738.04694311974</c:v>
                </c:pt>
                <c:pt idx="54">
                  <c:v>5836.58220068747</c:v>
                </c:pt>
                <c:pt idx="55">
                  <c:v>5932.64601644371</c:v>
                </c:pt>
                <c:pt idx="56">
                  <c:v>6026.53573367469</c:v>
                </c:pt>
                <c:pt idx="57">
                  <c:v>6118.21611580821</c:v>
                </c:pt>
                <c:pt idx="58">
                  <c:v>6209.2421647832</c:v>
                </c:pt>
                <c:pt idx="59">
                  <c:v>6309.70862793445</c:v>
                </c:pt>
                <c:pt idx="60">
                  <c:v>6411.7997731217</c:v>
                </c:pt>
                <c:pt idx="61">
                  <c:v>6500.05688684187</c:v>
                </c:pt>
                <c:pt idx="62">
                  <c:v>6588.36005098766</c:v>
                </c:pt>
                <c:pt idx="63">
                  <c:v>6671.58531899942</c:v>
                </c:pt>
                <c:pt idx="64">
                  <c:v>6756.38948182235</c:v>
                </c:pt>
                <c:pt idx="65">
                  <c:v>6840.64347653471</c:v>
                </c:pt>
                <c:pt idx="66">
                  <c:v>6926.37838023781</c:v>
                </c:pt>
                <c:pt idx="67">
                  <c:v>7010.44926955486</c:v>
                </c:pt>
                <c:pt idx="68">
                  <c:v>7100.10984214768</c:v>
                </c:pt>
                <c:pt idx="69">
                  <c:v>7205.74703159164</c:v>
                </c:pt>
                <c:pt idx="70">
                  <c:v>7299.09464875925</c:v>
                </c:pt>
                <c:pt idx="71">
                  <c:v>7390.12348205798</c:v>
                </c:pt>
                <c:pt idx="72">
                  <c:v>7474.33991822483</c:v>
                </c:pt>
                <c:pt idx="73">
                  <c:v>7567.45143071206</c:v>
                </c:pt>
                <c:pt idx="74">
                  <c:v>7660.67784342943</c:v>
                </c:pt>
                <c:pt idx="75">
                  <c:v>7758.42311410225</c:v>
                </c:pt>
                <c:pt idx="76">
                  <c:v>7861.42951773231</c:v>
                </c:pt>
                <c:pt idx="77">
                  <c:v>7972.04341023615</c:v>
                </c:pt>
                <c:pt idx="78">
                  <c:v>8072.01346069653</c:v>
                </c:pt>
                <c:pt idx="79">
                  <c:v>8179.38045655564</c:v>
                </c:pt>
                <c:pt idx="80">
                  <c:v>8278.79407867132</c:v>
                </c:pt>
                <c:pt idx="81">
                  <c:v>8370.28972093258</c:v>
                </c:pt>
                <c:pt idx="82">
                  <c:v>8454.45052660084</c:v>
                </c:pt>
                <c:pt idx="83">
                  <c:v>8540.07394860609</c:v>
                </c:pt>
                <c:pt idx="84">
                  <c:v>8633.10548913616</c:v>
                </c:pt>
                <c:pt idx="85">
                  <c:v>8737.07672594466</c:v>
                </c:pt>
                <c:pt idx="86">
                  <c:v>8833.05743406095</c:v>
                </c:pt>
                <c:pt idx="87">
                  <c:v>8920.67522143691</c:v>
                </c:pt>
                <c:pt idx="88">
                  <c:v>9027.90889871223</c:v>
                </c:pt>
                <c:pt idx="89">
                  <c:v>9138.35527434296</c:v>
                </c:pt>
                <c:pt idx="90">
                  <c:v>9236.67250698833</c:v>
                </c:pt>
                <c:pt idx="91">
                  <c:v>9340.25244785153</c:v>
                </c:pt>
                <c:pt idx="92">
                  <c:v>9447.86444774706</c:v>
                </c:pt>
                <c:pt idx="93">
                  <c:v>9554.52220814129</c:v>
                </c:pt>
                <c:pt idx="94">
                  <c:v>9669.8631532682</c:v>
                </c:pt>
                <c:pt idx="95">
                  <c:v>9773.82249037301</c:v>
                </c:pt>
                <c:pt idx="96">
                  <c:v>9861.48704926446</c:v>
                </c:pt>
                <c:pt idx="97">
                  <c:v>9952.25821843498</c:v>
                </c:pt>
                <c:pt idx="98">
                  <c:v>10051.4064023454</c:v>
                </c:pt>
                <c:pt idx="99">
                  <c:v>10153.5805286083</c:v>
                </c:pt>
                <c:pt idx="100">
                  <c:v>10244.055240686</c:v>
                </c:pt>
                <c:pt idx="101">
                  <c:v>10326.9863295344</c:v>
                </c:pt>
                <c:pt idx="102">
                  <c:v>10415.064544205</c:v>
                </c:pt>
                <c:pt idx="103">
                  <c:v>10503.962456973</c:v>
                </c:pt>
                <c:pt idx="104">
                  <c:v>10595.1592059253</c:v>
                </c:pt>
                <c:pt idx="105">
                  <c:v>10680.2082960247</c:v>
                </c:pt>
                <c:pt idx="106">
                  <c:v>10773.4412433589</c:v>
                </c:pt>
                <c:pt idx="107">
                  <c:v>10855.4856499428</c:v>
                </c:pt>
                <c:pt idx="108">
                  <c:v>10934.5231153283</c:v>
                </c:pt>
                <c:pt idx="109">
                  <c:v>11043.625815019</c:v>
                </c:pt>
                <c:pt idx="110">
                  <c:v>11158.1614941544</c:v>
                </c:pt>
                <c:pt idx="111">
                  <c:v>11268.0210852853</c:v>
                </c:pt>
                <c:pt idx="112">
                  <c:v>11380.2878660771</c:v>
                </c:pt>
                <c:pt idx="113">
                  <c:v>11480.8738389868</c:v>
                </c:pt>
                <c:pt idx="114">
                  <c:v>11584.5315517658</c:v>
                </c:pt>
                <c:pt idx="115">
                  <c:v>11686.2689121322</c:v>
                </c:pt>
                <c:pt idx="116">
                  <c:v>11773.5661580434</c:v>
                </c:pt>
                <c:pt idx="117">
                  <c:v>11858.4041994089</c:v>
                </c:pt>
                <c:pt idx="118">
                  <c:v>11974.0977412633</c:v>
                </c:pt>
                <c:pt idx="119">
                  <c:v>12088.2779412507</c:v>
                </c:pt>
                <c:pt idx="120">
                  <c:v>12185.9888561623</c:v>
                </c:pt>
                <c:pt idx="121">
                  <c:v>12305.2731253039</c:v>
                </c:pt>
                <c:pt idx="122">
                  <c:v>12426.5119094683</c:v>
                </c:pt>
                <c:pt idx="123">
                  <c:v>12550.0609508236</c:v>
                </c:pt>
                <c:pt idx="124">
                  <c:v>12666.4954844283</c:v>
                </c:pt>
                <c:pt idx="125">
                  <c:v>12773.2254073465</c:v>
                </c:pt>
                <c:pt idx="126">
                  <c:v>12891.0185497175</c:v>
                </c:pt>
                <c:pt idx="127">
                  <c:v>12987.5359282711</c:v>
                </c:pt>
                <c:pt idx="128">
                  <c:v>13082.265753224</c:v>
                </c:pt>
                <c:pt idx="129">
                  <c:v>13219.3799543303</c:v>
                </c:pt>
                <c:pt idx="130">
                  <c:v>13359.508960714</c:v>
                </c:pt>
                <c:pt idx="131">
                  <c:v>13472.7350224649</c:v>
                </c:pt>
                <c:pt idx="132">
                  <c:v>13613.2087100961</c:v>
                </c:pt>
                <c:pt idx="133">
                  <c:v>13761.5677855147</c:v>
                </c:pt>
                <c:pt idx="134">
                  <c:v>13885.6753342959</c:v>
                </c:pt>
                <c:pt idx="135">
                  <c:v>14015.8592694406</c:v>
                </c:pt>
                <c:pt idx="136">
                  <c:v>14157.6609519835</c:v>
                </c:pt>
                <c:pt idx="137">
                  <c:v>14308.0664579709</c:v>
                </c:pt>
                <c:pt idx="138">
                  <c:v>14451.4348557192</c:v>
                </c:pt>
                <c:pt idx="139">
                  <c:v>14563.712140755</c:v>
                </c:pt>
                <c:pt idx="140">
                  <c:v>14662.7535608282</c:v>
                </c:pt>
                <c:pt idx="141">
                  <c:v>14821.6167900147</c:v>
                </c:pt>
                <c:pt idx="142">
                  <c:v>15006.5882469884</c:v>
                </c:pt>
                <c:pt idx="143">
                  <c:v>15121.11582106</c:v>
                </c:pt>
                <c:pt idx="144">
                  <c:v>15244.6521955511</c:v>
                </c:pt>
                <c:pt idx="145">
                  <c:v>15389.9142458913</c:v>
                </c:pt>
                <c:pt idx="146">
                  <c:v>15523.5928502869</c:v>
                </c:pt>
                <c:pt idx="147">
                  <c:v>15631.1621295158</c:v>
                </c:pt>
                <c:pt idx="148">
                  <c:v>15757.1360707108</c:v>
                </c:pt>
                <c:pt idx="149">
                  <c:v>15916.1462504284</c:v>
                </c:pt>
                <c:pt idx="150">
                  <c:v>16070.3699323115</c:v>
                </c:pt>
                <c:pt idx="151">
                  <c:v>16227.662885939</c:v>
                </c:pt>
                <c:pt idx="152">
                  <c:v>16366.2154029684</c:v>
                </c:pt>
                <c:pt idx="153">
                  <c:v>16498.1437382106</c:v>
                </c:pt>
                <c:pt idx="154">
                  <c:v>16636.0498395878</c:v>
                </c:pt>
                <c:pt idx="155">
                  <c:v>16766.0942692082</c:v>
                </c:pt>
                <c:pt idx="156">
                  <c:v>16897.3371503317</c:v>
                </c:pt>
                <c:pt idx="157">
                  <c:v>17058.7142295088</c:v>
                </c:pt>
                <c:pt idx="158">
                  <c:v>17214.5118888106</c:v>
                </c:pt>
                <c:pt idx="159">
                  <c:v>17362.1685829486</c:v>
                </c:pt>
                <c:pt idx="160">
                  <c:v>17506.7282204768</c:v>
                </c:pt>
                <c:pt idx="161">
                  <c:v>17637.287268132</c:v>
                </c:pt>
                <c:pt idx="162">
                  <c:v>17796.4251481975</c:v>
                </c:pt>
                <c:pt idx="163">
                  <c:v>17949.9864066402</c:v>
                </c:pt>
                <c:pt idx="164">
                  <c:v>18095.8549485421</c:v>
                </c:pt>
                <c:pt idx="165">
                  <c:v>18243.745808002</c:v>
                </c:pt>
                <c:pt idx="166">
                  <c:v>18384.5548689493</c:v>
                </c:pt>
                <c:pt idx="167">
                  <c:v>18520.5960004842</c:v>
                </c:pt>
                <c:pt idx="168">
                  <c:v>18666.8995933612</c:v>
                </c:pt>
                <c:pt idx="169">
                  <c:v>18775.8821454336</c:v>
                </c:pt>
                <c:pt idx="170">
                  <c:v>18936.3692308669</c:v>
                </c:pt>
                <c:pt idx="171">
                  <c:v>19097.404161077</c:v>
                </c:pt>
                <c:pt idx="172">
                  <c:v>19240.857231171</c:v>
                </c:pt>
                <c:pt idx="173">
                  <c:v>19352.8693028471</c:v>
                </c:pt>
                <c:pt idx="174">
                  <c:v>19546.6021133704</c:v>
                </c:pt>
                <c:pt idx="175">
                  <c:v>19710.2471384966</c:v>
                </c:pt>
                <c:pt idx="176">
                  <c:v>19865.2318555139</c:v>
                </c:pt>
                <c:pt idx="177">
                  <c:v>20023.1066719723</c:v>
                </c:pt>
                <c:pt idx="178">
                  <c:v>20179.2893386215</c:v>
                </c:pt>
                <c:pt idx="179">
                  <c:v>20338.8313379036</c:v>
                </c:pt>
                <c:pt idx="180">
                  <c:v>20499.3766703542</c:v>
                </c:pt>
                <c:pt idx="181">
                  <c:v>20659.7753775628</c:v>
                </c:pt>
                <c:pt idx="182">
                  <c:v>20830.7934495626</c:v>
                </c:pt>
                <c:pt idx="183">
                  <c:v>21006.1549866197</c:v>
                </c:pt>
                <c:pt idx="184">
                  <c:v>21178.4666334025</c:v>
                </c:pt>
                <c:pt idx="185">
                  <c:v>21345.2382663065</c:v>
                </c:pt>
                <c:pt idx="186">
                  <c:v>21463.4493130886</c:v>
                </c:pt>
                <c:pt idx="187">
                  <c:v>21623.5690261223</c:v>
                </c:pt>
                <c:pt idx="188">
                  <c:v>21758.9269315708</c:v>
                </c:pt>
                <c:pt idx="189">
                  <c:v>21890.1694078252</c:v>
                </c:pt>
                <c:pt idx="190">
                  <c:v>22006.0285730084</c:v>
                </c:pt>
                <c:pt idx="191">
                  <c:v>22125.469404612</c:v>
                </c:pt>
                <c:pt idx="192">
                  <c:v>22307.3806368541</c:v>
                </c:pt>
                <c:pt idx="193">
                  <c:v>22494.2805810969</c:v>
                </c:pt>
                <c:pt idx="194">
                  <c:v>22701.6845217444</c:v>
                </c:pt>
                <c:pt idx="195">
                  <c:v>22883.0264244798</c:v>
                </c:pt>
                <c:pt idx="196">
                  <c:v>23047.12721918</c:v>
                </c:pt>
                <c:pt idx="197">
                  <c:v>23265.8076649644</c:v>
                </c:pt>
                <c:pt idx="198">
                  <c:v>23438.0219493688</c:v>
                </c:pt>
                <c:pt idx="199">
                  <c:v>23582.8022222041</c:v>
                </c:pt>
                <c:pt idx="200">
                  <c:v>23725.8923657015</c:v>
                </c:pt>
                <c:pt idx="201">
                  <c:v>23897.8977547655</c:v>
                </c:pt>
                <c:pt idx="202">
                  <c:v>24055.1808312996</c:v>
                </c:pt>
                <c:pt idx="203">
                  <c:v>24207.6870469452</c:v>
                </c:pt>
                <c:pt idx="204">
                  <c:v>24400.0612831097</c:v>
                </c:pt>
                <c:pt idx="205">
                  <c:v>24579.3764915618</c:v>
                </c:pt>
                <c:pt idx="206">
                  <c:v>24733.2867010202</c:v>
                </c:pt>
                <c:pt idx="207">
                  <c:v>24918.7214130518</c:v>
                </c:pt>
                <c:pt idx="208">
                  <c:v>25090.2561572938</c:v>
                </c:pt>
                <c:pt idx="209">
                  <c:v>25279.7384456362</c:v>
                </c:pt>
                <c:pt idx="210">
                  <c:v>25448.0695871394</c:v>
                </c:pt>
                <c:pt idx="211">
                  <c:v>25617.1983844282</c:v>
                </c:pt>
                <c:pt idx="212">
                  <c:v>25806.0725551867</c:v>
                </c:pt>
                <c:pt idx="213">
                  <c:v>25973.6091100406</c:v>
                </c:pt>
                <c:pt idx="214">
                  <c:v>26125.6381372745</c:v>
                </c:pt>
                <c:pt idx="215">
                  <c:v>26286.2878561132</c:v>
                </c:pt>
                <c:pt idx="216">
                  <c:v>26467.4814552263</c:v>
                </c:pt>
                <c:pt idx="217">
                  <c:v>26670.0078425992</c:v>
                </c:pt>
                <c:pt idx="218">
                  <c:v>26836.5362079557</c:v>
                </c:pt>
                <c:pt idx="219">
                  <c:v>26979.2316809346</c:v>
                </c:pt>
                <c:pt idx="220">
                  <c:v>27183.7589048506</c:v>
                </c:pt>
                <c:pt idx="221">
                  <c:v>27410.7688283335</c:v>
                </c:pt>
                <c:pt idx="222">
                  <c:v>27577.4638322332</c:v>
                </c:pt>
                <c:pt idx="223">
                  <c:v>27766.774465066</c:v>
                </c:pt>
                <c:pt idx="224">
                  <c:v>27948.2133943206</c:v>
                </c:pt>
                <c:pt idx="225">
                  <c:v>28130.8382488707</c:v>
                </c:pt>
                <c:pt idx="226">
                  <c:v>28319.5655782416</c:v>
                </c:pt>
                <c:pt idx="227">
                  <c:v>28566.9957254111</c:v>
                </c:pt>
                <c:pt idx="228">
                  <c:v>28774.7595001295</c:v>
                </c:pt>
                <c:pt idx="229">
                  <c:v>28964.9057733359</c:v>
                </c:pt>
                <c:pt idx="230">
                  <c:v>29065.4810927532</c:v>
                </c:pt>
                <c:pt idx="231">
                  <c:v>29216.3310390652</c:v>
                </c:pt>
                <c:pt idx="232">
                  <c:v>29400.6143797627</c:v>
                </c:pt>
                <c:pt idx="233">
                  <c:v>29628.3414177624</c:v>
                </c:pt>
                <c:pt idx="234">
                  <c:v>29756.2567981737</c:v>
                </c:pt>
                <c:pt idx="235">
                  <c:v>29964.0010554458</c:v>
                </c:pt>
                <c:pt idx="236">
                  <c:v>30149.7185761911</c:v>
                </c:pt>
                <c:pt idx="237">
                  <c:v>30301.9744605211</c:v>
                </c:pt>
                <c:pt idx="238">
                  <c:v>30464.6240064436</c:v>
                </c:pt>
                <c:pt idx="239">
                  <c:v>30647.7080992951</c:v>
                </c:pt>
                <c:pt idx="240">
                  <c:v>30812.4319664419</c:v>
                </c:pt>
                <c:pt idx="241">
                  <c:v>31009.3687867839</c:v>
                </c:pt>
                <c:pt idx="242">
                  <c:v>31210.5880175393</c:v>
                </c:pt>
                <c:pt idx="243">
                  <c:v>31384.5318144045</c:v>
                </c:pt>
                <c:pt idx="244">
                  <c:v>31510.4280803325</c:v>
                </c:pt>
                <c:pt idx="245">
                  <c:v>31767.6321315737</c:v>
                </c:pt>
                <c:pt idx="246">
                  <c:v>32002.399028611</c:v>
                </c:pt>
                <c:pt idx="247">
                  <c:v>32181.1123593188</c:v>
                </c:pt>
                <c:pt idx="248">
                  <c:v>32538.4026915745</c:v>
                </c:pt>
                <c:pt idx="249">
                  <c:v>32839.4046560098</c:v>
                </c:pt>
                <c:pt idx="250">
                  <c:v>33031.0069452243</c:v>
                </c:pt>
                <c:pt idx="251">
                  <c:v>33220.9600687368</c:v>
                </c:pt>
                <c:pt idx="252">
                  <c:v>33461.0587675098</c:v>
                </c:pt>
                <c:pt idx="253">
                  <c:v>33643.4816260564</c:v>
                </c:pt>
                <c:pt idx="254">
                  <c:v>33768.2436356775</c:v>
                </c:pt>
                <c:pt idx="255">
                  <c:v>33982.8362019129</c:v>
                </c:pt>
                <c:pt idx="256">
                  <c:v>34188.4809164585</c:v>
                </c:pt>
                <c:pt idx="257">
                  <c:v>34339.0706621068</c:v>
                </c:pt>
                <c:pt idx="258">
                  <c:v>34580.3618302503</c:v>
                </c:pt>
                <c:pt idx="259">
                  <c:v>34788.745049434</c:v>
                </c:pt>
                <c:pt idx="260">
                  <c:v>35031.9312429318</c:v>
                </c:pt>
                <c:pt idx="261">
                  <c:v>35245.6980437462</c:v>
                </c:pt>
                <c:pt idx="262">
                  <c:v>35392.411034335</c:v>
                </c:pt>
                <c:pt idx="263">
                  <c:v>35591.6562535066</c:v>
                </c:pt>
                <c:pt idx="264">
                  <c:v>35761.5831884659</c:v>
                </c:pt>
                <c:pt idx="265">
                  <c:v>35877.1627173726</c:v>
                </c:pt>
                <c:pt idx="266">
                  <c:v>35935.4107591384</c:v>
                </c:pt>
                <c:pt idx="267">
                  <c:v>36040.2137701499</c:v>
                </c:pt>
                <c:pt idx="268">
                  <c:v>36135.7266679664</c:v>
                </c:pt>
                <c:pt idx="269">
                  <c:v>36312.2213742414</c:v>
                </c:pt>
                <c:pt idx="270">
                  <c:v>36455.8871658028</c:v>
                </c:pt>
                <c:pt idx="271">
                  <c:v>36616.8522771361</c:v>
                </c:pt>
                <c:pt idx="272">
                  <c:v>36934.6790332483</c:v>
                </c:pt>
                <c:pt idx="273">
                  <c:v>37255.7140818325</c:v>
                </c:pt>
                <c:pt idx="274">
                  <c:v>37496.028564369</c:v>
                </c:pt>
                <c:pt idx="275">
                  <c:v>37645.1965617539</c:v>
                </c:pt>
                <c:pt idx="276">
                  <c:v>38013.2738994433</c:v>
                </c:pt>
                <c:pt idx="277">
                  <c:v>38386.2696210366</c:v>
                </c:pt>
                <c:pt idx="278">
                  <c:v>38594.6650726051</c:v>
                </c:pt>
                <c:pt idx="279">
                  <c:v>38834.0004612854</c:v>
                </c:pt>
                <c:pt idx="280">
                  <c:v>38939.3594418875</c:v>
                </c:pt>
                <c:pt idx="281">
                  <c:v>39070.0364399913</c:v>
                </c:pt>
                <c:pt idx="282">
                  <c:v>39146.8105794059</c:v>
                </c:pt>
                <c:pt idx="283">
                  <c:v>39238.0228263101</c:v>
                </c:pt>
                <c:pt idx="284">
                  <c:v>39248.8741728591</c:v>
                </c:pt>
                <c:pt idx="285">
                  <c:v>39365.5461800846</c:v>
                </c:pt>
                <c:pt idx="286">
                  <c:v>39500.2003014561</c:v>
                </c:pt>
                <c:pt idx="287">
                  <c:v>39619.9286380943</c:v>
                </c:pt>
                <c:pt idx="288">
                  <c:v>39843.508808019</c:v>
                </c:pt>
                <c:pt idx="289">
                  <c:v>40078.2817481182</c:v>
                </c:pt>
                <c:pt idx="290">
                  <c:v>40314.5411204513</c:v>
                </c:pt>
                <c:pt idx="291">
                  <c:v>40308.495015868</c:v>
                </c:pt>
                <c:pt idx="292">
                  <c:v>40385.4064269669</c:v>
                </c:pt>
                <c:pt idx="293">
                  <c:v>40726.2160822435</c:v>
                </c:pt>
                <c:pt idx="294">
                  <c:v>40771.9435205999</c:v>
                </c:pt>
                <c:pt idx="295">
                  <c:v>40982.7573198754</c:v>
                </c:pt>
                <c:pt idx="296">
                  <c:v>41321.3873105866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"Computed altitude (3)"</c:f>
              <c:strCache>
                <c:ptCount val="1"/>
                <c:pt idx="0">
                  <c:v>Computed altitude (3)</c:v>
                </c:pt>
              </c:strCache>
            </c:strRef>
          </c:tx>
          <c:spPr>
            <a:solidFill>
              <a:srgbClr val="530260"/>
            </a:solidFill>
            <a:ln w="14400">
              <a:solidFill>
                <a:srgbClr val="53026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44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'Flight data'!$D$4:$D$300</c:f>
              <c:numCache>
                <c:formatCode>0.0</c:formatCode>
                <c:ptCount val="297"/>
                <c:pt idx="0">
                  <c:v>1007.26084220716</c:v>
                </c:pt>
                <c:pt idx="1">
                  <c:v>1007.24485317844</c:v>
                </c:pt>
                <c:pt idx="2">
                  <c:v>1001.32891255244</c:v>
                </c:pt>
                <c:pt idx="3">
                  <c:v>986.858841561794</c:v>
                </c:pt>
                <c:pt idx="4">
                  <c:v>975.730477573411</c:v>
                </c:pt>
                <c:pt idx="5">
                  <c:v>965.577444336883</c:v>
                </c:pt>
                <c:pt idx="6">
                  <c:v>950.243965795418</c:v>
                </c:pt>
                <c:pt idx="7">
                  <c:v>933.039770893837</c:v>
                </c:pt>
                <c:pt idx="8">
                  <c:v>916.778928686673</c:v>
                </c:pt>
                <c:pt idx="9">
                  <c:v>905.026992578251</c:v>
                </c:pt>
                <c:pt idx="10">
                  <c:v>893.370990642143</c:v>
                </c:pt>
                <c:pt idx="11">
                  <c:v>881.619054533721</c:v>
                </c:pt>
                <c:pt idx="12">
                  <c:v>869.771184252985</c:v>
                </c:pt>
                <c:pt idx="13">
                  <c:v>859.330348499516</c:v>
                </c:pt>
                <c:pt idx="14">
                  <c:v>848.313907712165</c:v>
                </c:pt>
                <c:pt idx="15">
                  <c:v>837.169554695063</c:v>
                </c:pt>
                <c:pt idx="16">
                  <c:v>826.025201677961</c:v>
                </c:pt>
                <c:pt idx="17">
                  <c:v>815.744256211681</c:v>
                </c:pt>
                <c:pt idx="18">
                  <c:v>805.19149725718</c:v>
                </c:pt>
                <c:pt idx="19">
                  <c:v>794.46285898677</c:v>
                </c:pt>
                <c:pt idx="20">
                  <c:v>784.373781865118</c:v>
                </c:pt>
                <c:pt idx="21">
                  <c:v>775.43591481123</c:v>
                </c:pt>
                <c:pt idx="22">
                  <c:v>764.355517909003</c:v>
                </c:pt>
                <c:pt idx="23">
                  <c:v>753.962649241691</c:v>
                </c:pt>
                <c:pt idx="24">
                  <c:v>743.905550177477</c:v>
                </c:pt>
                <c:pt idx="25">
                  <c:v>731.929767666989</c:v>
                </c:pt>
                <c:pt idx="26">
                  <c:v>719.666182639561</c:v>
                </c:pt>
                <c:pt idx="27">
                  <c:v>709.433204259439</c:v>
                </c:pt>
                <c:pt idx="28">
                  <c:v>699.631929654727</c:v>
                </c:pt>
                <c:pt idx="29">
                  <c:v>689.958567279768</c:v>
                </c:pt>
                <c:pt idx="30">
                  <c:v>680.045369474024</c:v>
                </c:pt>
                <c:pt idx="31">
                  <c:v>670.244094869313</c:v>
                </c:pt>
                <c:pt idx="32">
                  <c:v>661.769909648274</c:v>
                </c:pt>
                <c:pt idx="33">
                  <c:v>653.391658599548</c:v>
                </c:pt>
                <c:pt idx="34">
                  <c:v>645.20527589545</c:v>
                </c:pt>
                <c:pt idx="35">
                  <c:v>637.082849306228</c:v>
                </c:pt>
                <c:pt idx="36">
                  <c:v>628.928444659568</c:v>
                </c:pt>
                <c:pt idx="37">
                  <c:v>620.774040012907</c:v>
                </c:pt>
                <c:pt idx="38">
                  <c:v>612.42776702162</c:v>
                </c:pt>
                <c:pt idx="39">
                  <c:v>602.706437560503</c:v>
                </c:pt>
                <c:pt idx="40">
                  <c:v>594.935769603098</c:v>
                </c:pt>
                <c:pt idx="41">
                  <c:v>587.372959019038</c:v>
                </c:pt>
                <c:pt idx="42">
                  <c:v>580.049983865763</c:v>
                </c:pt>
                <c:pt idx="43">
                  <c:v>572.854920942239</c:v>
                </c:pt>
                <c:pt idx="44">
                  <c:v>565.579912875121</c:v>
                </c:pt>
                <c:pt idx="45">
                  <c:v>558.320893836722</c:v>
                </c:pt>
                <c:pt idx="46">
                  <c:v>550.949951597289</c:v>
                </c:pt>
                <c:pt idx="47">
                  <c:v>544.010713133269</c:v>
                </c:pt>
                <c:pt idx="48">
                  <c:v>537.055485640529</c:v>
                </c:pt>
                <c:pt idx="49">
                  <c:v>530.116247176509</c:v>
                </c:pt>
                <c:pt idx="50">
                  <c:v>523.017118425298</c:v>
                </c:pt>
                <c:pt idx="51">
                  <c:v>515.74211035818</c:v>
                </c:pt>
                <c:pt idx="52">
                  <c:v>508.738915779284</c:v>
                </c:pt>
                <c:pt idx="53">
                  <c:v>501.799677315263</c:v>
                </c:pt>
                <c:pt idx="54">
                  <c:v>494.956373023556</c:v>
                </c:pt>
                <c:pt idx="55">
                  <c:v>488.177024846725</c:v>
                </c:pt>
                <c:pt idx="56">
                  <c:v>481.845369474024</c:v>
                </c:pt>
                <c:pt idx="57">
                  <c:v>475.529703130042</c:v>
                </c:pt>
                <c:pt idx="58">
                  <c:v>469.262003872217</c:v>
                </c:pt>
                <c:pt idx="59">
                  <c:v>463.02628267183</c:v>
                </c:pt>
                <c:pt idx="60">
                  <c:v>456.966440787351</c:v>
                </c:pt>
                <c:pt idx="61">
                  <c:v>450.986544046467</c:v>
                </c:pt>
                <c:pt idx="62">
                  <c:v>445.006647305582</c:v>
                </c:pt>
                <c:pt idx="63">
                  <c:v>439.60235559858</c:v>
                </c:pt>
                <c:pt idx="64">
                  <c:v>433.974217489513</c:v>
                </c:pt>
                <c:pt idx="65">
                  <c:v>428.442013552759</c:v>
                </c:pt>
                <c:pt idx="66">
                  <c:v>422.781897386254</c:v>
                </c:pt>
                <c:pt idx="67">
                  <c:v>417.345627621814</c:v>
                </c:pt>
                <c:pt idx="68">
                  <c:v>411.749467570184</c:v>
                </c:pt>
                <c:pt idx="69">
                  <c:v>405.625669570829</c:v>
                </c:pt>
                <c:pt idx="70">
                  <c:v>399.949564375605</c:v>
                </c:pt>
                <c:pt idx="71">
                  <c:v>394.305437237819</c:v>
                </c:pt>
                <c:pt idx="72">
                  <c:v>388.773233301065</c:v>
                </c:pt>
                <c:pt idx="73">
                  <c:v>383.400919651501</c:v>
                </c:pt>
                <c:pt idx="74">
                  <c:v>378.076573088093</c:v>
                </c:pt>
                <c:pt idx="75">
                  <c:v>372.704259438529</c:v>
                </c:pt>
                <c:pt idx="76">
                  <c:v>366.692384640207</c:v>
                </c:pt>
                <c:pt idx="77">
                  <c:v>359.913036463375</c:v>
                </c:pt>
                <c:pt idx="78">
                  <c:v>354.125008067119</c:v>
                </c:pt>
                <c:pt idx="79">
                  <c:v>348.768683446273</c:v>
                </c:pt>
                <c:pt idx="80">
                  <c:v>343.604227170055</c:v>
                </c:pt>
                <c:pt idx="81">
                  <c:v>338.519716037431</c:v>
                </c:pt>
                <c:pt idx="82">
                  <c:v>333.40322684737</c:v>
                </c:pt>
                <c:pt idx="83">
                  <c:v>328.238770571152</c:v>
                </c:pt>
                <c:pt idx="84">
                  <c:v>323.298160696999</c:v>
                </c:pt>
                <c:pt idx="85">
                  <c:v>318.229638593095</c:v>
                </c:pt>
                <c:pt idx="86">
                  <c:v>313.033204259439</c:v>
                </c:pt>
                <c:pt idx="87">
                  <c:v>307.948693126815</c:v>
                </c:pt>
                <c:pt idx="88">
                  <c:v>302.992094223943</c:v>
                </c:pt>
                <c:pt idx="89">
                  <c:v>297.971539206196</c:v>
                </c:pt>
                <c:pt idx="90">
                  <c:v>292.950984188448</c:v>
                </c:pt>
                <c:pt idx="91">
                  <c:v>287.994385285576</c:v>
                </c:pt>
                <c:pt idx="92">
                  <c:v>283.085753468861</c:v>
                </c:pt>
                <c:pt idx="93">
                  <c:v>277.825363020329</c:v>
                </c:pt>
                <c:pt idx="94">
                  <c:v>272.708873830268</c:v>
                </c:pt>
                <c:pt idx="95">
                  <c:v>268.247934817683</c:v>
                </c:pt>
                <c:pt idx="96">
                  <c:v>263.866940948693</c:v>
                </c:pt>
                <c:pt idx="97">
                  <c:v>259.67781542433</c:v>
                </c:pt>
                <c:pt idx="98">
                  <c:v>255.568635043562</c:v>
                </c:pt>
                <c:pt idx="99">
                  <c:v>251.52341077767</c:v>
                </c:pt>
                <c:pt idx="100">
                  <c:v>247.510164569216</c:v>
                </c:pt>
                <c:pt idx="101">
                  <c:v>243.257082929977</c:v>
                </c:pt>
                <c:pt idx="102">
                  <c:v>238.98801226202</c:v>
                </c:pt>
                <c:pt idx="103">
                  <c:v>235.038722168441</c:v>
                </c:pt>
                <c:pt idx="104">
                  <c:v>231.057454017425</c:v>
                </c:pt>
                <c:pt idx="105">
                  <c:v>227.108163923846</c:v>
                </c:pt>
                <c:pt idx="106">
                  <c:v>223.334753146176</c:v>
                </c:pt>
                <c:pt idx="107">
                  <c:v>219.561342368506</c:v>
                </c:pt>
                <c:pt idx="108">
                  <c:v>215.755953533398</c:v>
                </c:pt>
                <c:pt idx="109">
                  <c:v>211.95056469829</c:v>
                </c:pt>
                <c:pt idx="110">
                  <c:v>208.17715392062</c:v>
                </c:pt>
                <c:pt idx="111">
                  <c:v>204.531655372701</c:v>
                </c:pt>
                <c:pt idx="112">
                  <c:v>201.030058083253</c:v>
                </c:pt>
                <c:pt idx="113">
                  <c:v>197.576427879961</c:v>
                </c:pt>
                <c:pt idx="114">
                  <c:v>193.994885446918</c:v>
                </c:pt>
                <c:pt idx="115">
                  <c:v>190.605211358503</c:v>
                </c:pt>
                <c:pt idx="116">
                  <c:v>187.231526298806</c:v>
                </c:pt>
                <c:pt idx="117">
                  <c:v>183.873830267828</c:v>
                </c:pt>
                <c:pt idx="118">
                  <c:v>180.580090351726</c:v>
                </c:pt>
                <c:pt idx="119">
                  <c:v>177.270361406905</c:v>
                </c:pt>
                <c:pt idx="120">
                  <c:v>174.040577605679</c:v>
                </c:pt>
                <c:pt idx="121">
                  <c:v>170.55496934495</c:v>
                </c:pt>
                <c:pt idx="122">
                  <c:v>166.78155856728</c:v>
                </c:pt>
                <c:pt idx="123">
                  <c:v>163.631719909648</c:v>
                </c:pt>
                <c:pt idx="124">
                  <c:v>160.641771539206</c:v>
                </c:pt>
                <c:pt idx="125">
                  <c:v>157.779735398516</c:v>
                </c:pt>
                <c:pt idx="126">
                  <c:v>154.917699257825</c:v>
                </c:pt>
                <c:pt idx="127">
                  <c:v>152.167586318167</c:v>
                </c:pt>
                <c:pt idx="128">
                  <c:v>149.433462407228</c:v>
                </c:pt>
                <c:pt idx="129">
                  <c:v>146.491481122943</c:v>
                </c:pt>
                <c:pt idx="130">
                  <c:v>143.805324298161</c:v>
                </c:pt>
                <c:pt idx="131">
                  <c:v>141.215101645692</c:v>
                </c:pt>
                <c:pt idx="132">
                  <c:v>138.624878993224</c:v>
                </c:pt>
                <c:pt idx="133">
                  <c:v>136.066634398193</c:v>
                </c:pt>
                <c:pt idx="134">
                  <c:v>133.652291061633</c:v>
                </c:pt>
                <c:pt idx="135">
                  <c:v>131.221958696354</c:v>
                </c:pt>
                <c:pt idx="136">
                  <c:v>128.807615359794</c:v>
                </c:pt>
                <c:pt idx="137">
                  <c:v>126.377282994514</c:v>
                </c:pt>
                <c:pt idx="138">
                  <c:v>123.978928686673</c:v>
                </c:pt>
                <c:pt idx="139">
                  <c:v>121.724475637302</c:v>
                </c:pt>
                <c:pt idx="140">
                  <c:v>119.502000645369</c:v>
                </c:pt>
                <c:pt idx="141">
                  <c:v>117.311503710874</c:v>
                </c:pt>
                <c:pt idx="142">
                  <c:v>115.26490803485</c:v>
                </c:pt>
                <c:pt idx="143">
                  <c:v>113.202323330106</c:v>
                </c:pt>
                <c:pt idx="144">
                  <c:v>111.219683768958</c:v>
                </c:pt>
                <c:pt idx="145">
                  <c:v>109.237044207809</c:v>
                </c:pt>
                <c:pt idx="146">
                  <c:v>107.25440464666</c:v>
                </c:pt>
                <c:pt idx="147">
                  <c:v>105.28775411423</c:v>
                </c:pt>
                <c:pt idx="148">
                  <c:v>103.209180380768</c:v>
                </c:pt>
                <c:pt idx="149">
                  <c:v>101.2105517909</c:v>
                </c:pt>
                <c:pt idx="150">
                  <c:v>99.2279122297515</c:v>
                </c:pt>
                <c:pt idx="151">
                  <c:v>97.2612616973217</c:v>
                </c:pt>
                <c:pt idx="152">
                  <c:v>95.3905453372056</c:v>
                </c:pt>
                <c:pt idx="153">
                  <c:v>93.5837850919652</c:v>
                </c:pt>
                <c:pt idx="154">
                  <c:v>91.8249919328816</c:v>
                </c:pt>
                <c:pt idx="155">
                  <c:v>90.0342207163601</c:v>
                </c:pt>
                <c:pt idx="156">
                  <c:v>88.3074056147144</c:v>
                </c:pt>
                <c:pt idx="157">
                  <c:v>86.5805905130687</c:v>
                </c:pt>
                <c:pt idx="158">
                  <c:v>84.9017424975799</c:v>
                </c:pt>
                <c:pt idx="159">
                  <c:v>83.2548725395289</c:v>
                </c:pt>
                <c:pt idx="160">
                  <c:v>81.592013552759</c:v>
                </c:pt>
                <c:pt idx="161">
                  <c:v>80.0250887383027</c:v>
                </c:pt>
                <c:pt idx="162">
                  <c:v>78.4741529525654</c:v>
                </c:pt>
                <c:pt idx="163">
                  <c:v>77.0191513391417</c:v>
                </c:pt>
                <c:pt idx="164">
                  <c:v>75.5961277831559</c:v>
                </c:pt>
                <c:pt idx="165">
                  <c:v>74.2210713133269</c:v>
                </c:pt>
                <c:pt idx="166">
                  <c:v>72.81403678606</c:v>
                </c:pt>
                <c:pt idx="167">
                  <c:v>71.3910132300742</c:v>
                </c:pt>
                <c:pt idx="168">
                  <c:v>69.9839787028074</c:v>
                </c:pt>
                <c:pt idx="169">
                  <c:v>68.6249112616973</c:v>
                </c:pt>
                <c:pt idx="170">
                  <c:v>67.2498547918683</c:v>
                </c:pt>
                <c:pt idx="171">
                  <c:v>65.8747983220394</c:v>
                </c:pt>
                <c:pt idx="172">
                  <c:v>64.5317199096483</c:v>
                </c:pt>
                <c:pt idx="173">
                  <c:v>63.2685866408519</c:v>
                </c:pt>
                <c:pt idx="174">
                  <c:v>61.9894643433366</c:v>
                </c:pt>
                <c:pt idx="175">
                  <c:v>60.7423201032591</c:v>
                </c:pt>
                <c:pt idx="176">
                  <c:v>59.4791868344627</c:v>
                </c:pt>
                <c:pt idx="177">
                  <c:v>58.31198773798</c:v>
                </c:pt>
                <c:pt idx="178">
                  <c:v>57.0808325266215</c:v>
                </c:pt>
                <c:pt idx="179">
                  <c:v>55.849677315263</c:v>
                </c:pt>
                <c:pt idx="180">
                  <c:v>54.6824782187803</c:v>
                </c:pt>
                <c:pt idx="181">
                  <c:v>53.5312681510165</c:v>
                </c:pt>
                <c:pt idx="182">
                  <c:v>52.3800580832527</c:v>
                </c:pt>
                <c:pt idx="183">
                  <c:v>51.3087931590836</c:v>
                </c:pt>
                <c:pt idx="184">
                  <c:v>50.2215392061955</c:v>
                </c:pt>
                <c:pt idx="185">
                  <c:v>49.1982413681833</c:v>
                </c:pt>
                <c:pt idx="186">
                  <c:v>48.174943530171</c:v>
                </c:pt>
                <c:pt idx="187">
                  <c:v>47.1996127783156</c:v>
                </c:pt>
                <c:pt idx="188">
                  <c:v>46.2402710551791</c:v>
                </c:pt>
                <c:pt idx="189">
                  <c:v>45.2969183607615</c:v>
                </c:pt>
                <c:pt idx="190">
                  <c:v>44.4015327525008</c:v>
                </c:pt>
                <c:pt idx="191">
                  <c:v>43.4901581155211</c:v>
                </c:pt>
                <c:pt idx="192">
                  <c:v>42.5627944498225</c:v>
                </c:pt>
                <c:pt idx="193">
                  <c:v>41.6833978702807</c:v>
                </c:pt>
                <c:pt idx="194">
                  <c:v>40.78801226202</c:v>
                </c:pt>
                <c:pt idx="195">
                  <c:v>39.956582768635</c:v>
                </c:pt>
                <c:pt idx="196">
                  <c:v>39.2050984188448</c:v>
                </c:pt>
                <c:pt idx="197">
                  <c:v>38.3896579541788</c:v>
                </c:pt>
                <c:pt idx="198">
                  <c:v>37.6381736043885</c:v>
                </c:pt>
                <c:pt idx="199">
                  <c:v>36.8866892545983</c:v>
                </c:pt>
                <c:pt idx="200">
                  <c:v>36.1671829622459</c:v>
                </c:pt>
                <c:pt idx="201">
                  <c:v>35.4316876411746</c:v>
                </c:pt>
                <c:pt idx="202">
                  <c:v>34.6322362052275</c:v>
                </c:pt>
                <c:pt idx="203">
                  <c:v>33.9127299128751</c:v>
                </c:pt>
                <c:pt idx="204">
                  <c:v>33.1932236205228</c:v>
                </c:pt>
                <c:pt idx="205">
                  <c:v>32.4897063568893</c:v>
                </c:pt>
                <c:pt idx="206">
                  <c:v>31.8181671506938</c:v>
                </c:pt>
                <c:pt idx="207">
                  <c:v>31.1786060019361</c:v>
                </c:pt>
                <c:pt idx="208">
                  <c:v>30.5550338818974</c:v>
                </c:pt>
                <c:pt idx="209">
                  <c:v>29.9634398192965</c:v>
                </c:pt>
                <c:pt idx="210">
                  <c:v>29.3238786705389</c:v>
                </c:pt>
                <c:pt idx="211">
                  <c:v>28.7162955792191</c:v>
                </c:pt>
                <c:pt idx="212">
                  <c:v>28.0927234591804</c:v>
                </c:pt>
                <c:pt idx="213">
                  <c:v>27.4851403678606</c:v>
                </c:pt>
                <c:pt idx="214">
                  <c:v>26.9095353339787</c:v>
                </c:pt>
                <c:pt idx="215">
                  <c:v>26.3339303000968</c:v>
                </c:pt>
                <c:pt idx="216">
                  <c:v>25.8382704098096</c:v>
                </c:pt>
                <c:pt idx="217">
                  <c:v>25.2786544046467</c:v>
                </c:pt>
                <c:pt idx="218">
                  <c:v>24.7510164569216</c:v>
                </c:pt>
                <c:pt idx="219">
                  <c:v>24.2233785091965</c:v>
                </c:pt>
                <c:pt idx="220">
                  <c:v>23.7437076476283</c:v>
                </c:pt>
                <c:pt idx="221">
                  <c:v>23.1681026137464</c:v>
                </c:pt>
                <c:pt idx="222">
                  <c:v>22.7044207808971</c:v>
                </c:pt>
                <c:pt idx="223">
                  <c:v>22.1927718618909</c:v>
                </c:pt>
                <c:pt idx="224">
                  <c:v>21.7450790577606</c:v>
                </c:pt>
                <c:pt idx="225">
                  <c:v>21.2654081961923</c:v>
                </c:pt>
                <c:pt idx="226">
                  <c:v>20.8337044207809</c:v>
                </c:pt>
                <c:pt idx="227">
                  <c:v>20.4179896740884</c:v>
                </c:pt>
                <c:pt idx="228">
                  <c:v>19.9702968699581</c:v>
                </c:pt>
                <c:pt idx="229">
                  <c:v>19.5705711519845</c:v>
                </c:pt>
                <c:pt idx="230">
                  <c:v>19.1868344627299</c:v>
                </c:pt>
                <c:pt idx="231">
                  <c:v>18.7551306873185</c:v>
                </c:pt>
                <c:pt idx="232">
                  <c:v>18.3713939980639</c:v>
                </c:pt>
                <c:pt idx="233">
                  <c:v>17.9716682800904</c:v>
                </c:pt>
                <c:pt idx="234">
                  <c:v>17.6039206195547</c:v>
                </c:pt>
                <c:pt idx="235">
                  <c:v>17.1722168441433</c:v>
                </c:pt>
                <c:pt idx="236">
                  <c:v>16.8204582123266</c:v>
                </c:pt>
                <c:pt idx="237">
                  <c:v>16.4527105517909</c:v>
                </c:pt>
                <c:pt idx="238">
                  <c:v>16.1009519199742</c:v>
                </c:pt>
                <c:pt idx="239">
                  <c:v>15.7651823168764</c:v>
                </c:pt>
                <c:pt idx="240">
                  <c:v>15.3814456276218</c:v>
                </c:pt>
                <c:pt idx="241">
                  <c:v>15.045676024524</c:v>
                </c:pt>
                <c:pt idx="242">
                  <c:v>14.7258954501452</c:v>
                </c:pt>
                <c:pt idx="243">
                  <c:v>14.3901258470474</c:v>
                </c:pt>
                <c:pt idx="244">
                  <c:v>14.0543562439497</c:v>
                </c:pt>
                <c:pt idx="245">
                  <c:v>13.7345756695708</c:v>
                </c:pt>
                <c:pt idx="246">
                  <c:v>13.414795095192</c:v>
                </c:pt>
                <c:pt idx="247">
                  <c:v>13.14298160697</c:v>
                </c:pt>
                <c:pt idx="248">
                  <c:v>12.6792997741207</c:v>
                </c:pt>
                <c:pt idx="249">
                  <c:v>12.3595191997419</c:v>
                </c:pt>
                <c:pt idx="250">
                  <c:v>12.055727654082</c:v>
                </c:pt>
                <c:pt idx="251">
                  <c:v>11.7999031945789</c:v>
                </c:pt>
                <c:pt idx="252">
                  <c:v>11.5600677637948</c:v>
                </c:pt>
                <c:pt idx="253">
                  <c:v>11.3042433042917</c:v>
                </c:pt>
                <c:pt idx="254">
                  <c:v>11.0484188447886</c:v>
                </c:pt>
                <c:pt idx="255">
                  <c:v>10.7925943852856</c:v>
                </c:pt>
                <c:pt idx="256">
                  <c:v>10.5527589545015</c:v>
                </c:pt>
                <c:pt idx="257">
                  <c:v>10.3608906098742</c:v>
                </c:pt>
                <c:pt idx="258">
                  <c:v>10.1530332365279</c:v>
                </c:pt>
                <c:pt idx="259">
                  <c:v>9.96116489190061</c:v>
                </c:pt>
                <c:pt idx="260">
                  <c:v>9.73731848983543</c:v>
                </c:pt>
                <c:pt idx="261">
                  <c:v>9.51347208777025</c:v>
                </c:pt>
                <c:pt idx="262">
                  <c:v>9.32160374314295</c:v>
                </c:pt>
                <c:pt idx="263">
                  <c:v>9.09775734107777</c:v>
                </c:pt>
                <c:pt idx="264">
                  <c:v>8.90588899645047</c:v>
                </c:pt>
                <c:pt idx="265">
                  <c:v>8.71402065182317</c:v>
                </c:pt>
                <c:pt idx="266">
                  <c:v>8.52215230719587</c:v>
                </c:pt>
                <c:pt idx="267">
                  <c:v>8.36226202000646</c:v>
                </c:pt>
                <c:pt idx="268">
                  <c:v>8.20237173281704</c:v>
                </c:pt>
                <c:pt idx="269">
                  <c:v>8.02649241690868</c:v>
                </c:pt>
                <c:pt idx="270">
                  <c:v>7.86660212971926</c:v>
                </c:pt>
                <c:pt idx="271">
                  <c:v>7.70671184252985</c:v>
                </c:pt>
                <c:pt idx="272">
                  <c:v>7.56281058405937</c:v>
                </c:pt>
                <c:pt idx="273">
                  <c:v>7.38693126815102</c:v>
                </c:pt>
                <c:pt idx="274">
                  <c:v>7.25901903839948</c:v>
                </c:pt>
                <c:pt idx="275">
                  <c:v>7.14709583736689</c:v>
                </c:pt>
                <c:pt idx="276">
                  <c:v>6.98720555017748</c:v>
                </c:pt>
                <c:pt idx="277">
                  <c:v>6.843304291707</c:v>
                </c:pt>
                <c:pt idx="278">
                  <c:v>6.74737011939335</c:v>
                </c:pt>
                <c:pt idx="279">
                  <c:v>6.60346886092288</c:v>
                </c:pt>
                <c:pt idx="280">
                  <c:v>6.50753468860923</c:v>
                </c:pt>
                <c:pt idx="281">
                  <c:v>6.3796224588577</c:v>
                </c:pt>
                <c:pt idx="282">
                  <c:v>6.26769925782511</c:v>
                </c:pt>
                <c:pt idx="283">
                  <c:v>6.17176508551146</c:v>
                </c:pt>
                <c:pt idx="284">
                  <c:v>6.05984188447886</c:v>
                </c:pt>
                <c:pt idx="285">
                  <c:v>5.97989674088416</c:v>
                </c:pt>
                <c:pt idx="286">
                  <c:v>5.86797353985156</c:v>
                </c:pt>
                <c:pt idx="287">
                  <c:v>5.75605033881897</c:v>
                </c:pt>
                <c:pt idx="288">
                  <c:v>5.64412713778638</c:v>
                </c:pt>
                <c:pt idx="289">
                  <c:v>5.53220393675379</c:v>
                </c:pt>
                <c:pt idx="290">
                  <c:v>5.43626976444014</c:v>
                </c:pt>
                <c:pt idx="291">
                  <c:v>5.34033559212649</c:v>
                </c:pt>
                <c:pt idx="292">
                  <c:v>5.29236850596967</c:v>
                </c:pt>
                <c:pt idx="293">
                  <c:v>5.19643433365602</c:v>
                </c:pt>
                <c:pt idx="294">
                  <c:v>5.10050016134237</c:v>
                </c:pt>
                <c:pt idx="295">
                  <c:v>5.0365440464666</c:v>
                </c:pt>
                <c:pt idx="296">
                  <c:v>4.95659890287189</c:v>
                </c:pt>
              </c:numCache>
            </c:numRef>
          </c:xVal>
          <c:yVal>
            <c:numRef>
              <c:f>'Flight data'!$K$4:$K$300</c:f>
              <c:numCache>
                <c:formatCode>0.0</c:formatCode>
                <c:ptCount val="297"/>
                <c:pt idx="0">
                  <c:v>104.735226700222</c:v>
                </c:pt>
                <c:pt idx="1">
                  <c:v>104.872488038182</c:v>
                </c:pt>
                <c:pt idx="2">
                  <c:v>155.780702589741</c:v>
                </c:pt>
                <c:pt idx="3">
                  <c:v>281.333590622832</c:v>
                </c:pt>
                <c:pt idx="4">
                  <c:v>378.909390797701</c:v>
                </c:pt>
                <c:pt idx="5">
                  <c:v>468.722561981147</c:v>
                </c:pt>
                <c:pt idx="6">
                  <c:v>605.822103298468</c:v>
                </c:pt>
                <c:pt idx="7">
                  <c:v>761.797212043399</c:v>
                </c:pt>
                <c:pt idx="8">
                  <c:v>911.375351093861</c:v>
                </c:pt>
                <c:pt idx="9">
                  <c:v>1020.82053532403</c:v>
                </c:pt>
                <c:pt idx="10">
                  <c:v>1130.5149229352</c:v>
                </c:pt>
                <c:pt idx="11">
                  <c:v>1242.29168184714</c:v>
                </c:pt>
                <c:pt idx="12">
                  <c:v>1356.20889960499</c:v>
                </c:pt>
                <c:pt idx="13">
                  <c:v>1457.64376448117</c:v>
                </c:pt>
                <c:pt idx="14">
                  <c:v>1565.75850789814</c:v>
                </c:pt>
                <c:pt idx="15">
                  <c:v>1676.29153216942</c:v>
                </c:pt>
                <c:pt idx="16">
                  <c:v>1788.02245049114</c:v>
                </c:pt>
                <c:pt idx="17">
                  <c:v>1892.18469468774</c:v>
                </c:pt>
                <c:pt idx="18">
                  <c:v>2000.21224383751</c:v>
                </c:pt>
                <c:pt idx="19">
                  <c:v>2111.22190498195</c:v>
                </c:pt>
                <c:pt idx="20">
                  <c:v>2216.72702214224</c:v>
                </c:pt>
                <c:pt idx="21">
                  <c:v>2311.11543098157</c:v>
                </c:pt>
                <c:pt idx="22">
                  <c:v>2429.36084040393</c:v>
                </c:pt>
                <c:pt idx="23">
                  <c:v>2541.53745733929</c:v>
                </c:pt>
                <c:pt idx="24">
                  <c:v>2651.28831292681</c:v>
                </c:pt>
                <c:pt idx="25">
                  <c:v>2783.5555485032</c:v>
                </c:pt>
                <c:pt idx="26">
                  <c:v>2920.83005598316</c:v>
                </c:pt>
                <c:pt idx="27">
                  <c:v>3036.83188107067</c:v>
                </c:pt>
                <c:pt idx="28">
                  <c:v>3149.21719988102</c:v>
                </c:pt>
                <c:pt idx="29">
                  <c:v>3261.39282692072</c:v>
                </c:pt>
                <c:pt idx="30">
                  <c:v>3377.67872494902</c:v>
                </c:pt>
                <c:pt idx="31">
                  <c:v>3494.00903371781</c:v>
                </c:pt>
                <c:pt idx="32">
                  <c:v>3595.70385944048</c:v>
                </c:pt>
                <c:pt idx="33">
                  <c:v>3697.28934680549</c:v>
                </c:pt>
                <c:pt idx="34">
                  <c:v>3797.57237459684</c:v>
                </c:pt>
                <c:pt idx="35">
                  <c:v>3898.09538197567</c:v>
                </c:pt>
                <c:pt idx="36">
                  <c:v>4000.06348261815</c:v>
                </c:pt>
                <c:pt idx="37">
                  <c:v>4103.10774693119</c:v>
                </c:pt>
                <c:pt idx="38">
                  <c:v>4209.71787622592</c:v>
                </c:pt>
                <c:pt idx="39">
                  <c:v>4335.38555054843</c:v>
                </c:pt>
                <c:pt idx="40">
                  <c:v>4437.02276388123</c:v>
                </c:pt>
                <c:pt idx="41">
                  <c:v>4536.97873344828</c:v>
                </c:pt>
                <c:pt idx="42">
                  <c:v>4634.762873393</c:v>
                </c:pt>
                <c:pt idx="43">
                  <c:v>4731.81742788861</c:v>
                </c:pt>
                <c:pt idx="44">
                  <c:v>4830.95915035255</c:v>
                </c:pt>
                <c:pt idx="45">
                  <c:v>4930.91754935399</c:v>
                </c:pt>
                <c:pt idx="46">
                  <c:v>5033.49977723052</c:v>
                </c:pt>
                <c:pt idx="47">
                  <c:v>5131.09453070654</c:v>
                </c:pt>
                <c:pt idx="48">
                  <c:v>5229.93092903426</c:v>
                </c:pt>
                <c:pt idx="49">
                  <c:v>5329.57841648371</c:v>
                </c:pt>
                <c:pt idx="50">
                  <c:v>5432.62093502247</c:v>
                </c:pt>
                <c:pt idx="51">
                  <c:v>5539.39799294206</c:v>
                </c:pt>
                <c:pt idx="52">
                  <c:v>5643.34392675001</c:v>
                </c:pt>
                <c:pt idx="53">
                  <c:v>5747.48971379182</c:v>
                </c:pt>
                <c:pt idx="54">
                  <c:v>5851.34409295369</c:v>
                </c:pt>
                <c:pt idx="55">
                  <c:v>5955.38067156972</c:v>
                </c:pt>
                <c:pt idx="56">
                  <c:v>6053.60882394138</c:v>
                </c:pt>
                <c:pt idx="57">
                  <c:v>6152.63567847706</c:v>
                </c:pt>
                <c:pt idx="58">
                  <c:v>6251.96891333988</c:v>
                </c:pt>
                <c:pt idx="59">
                  <c:v>6351.86718962866</c:v>
                </c:pt>
                <c:pt idx="60">
                  <c:v>6449.99702068887</c:v>
                </c:pt>
                <c:pt idx="61">
                  <c:v>6547.87066550886</c:v>
                </c:pt>
                <c:pt idx="62">
                  <c:v>6646.80081499347</c:v>
                </c:pt>
                <c:pt idx="63">
                  <c:v>6737.13862305232</c:v>
                </c:pt>
                <c:pt idx="64">
                  <c:v>6832.17921339448</c:v>
                </c:pt>
                <c:pt idx="65">
                  <c:v>6926.57746135972</c:v>
                </c:pt>
                <c:pt idx="66">
                  <c:v>7024.18535411742</c:v>
                </c:pt>
                <c:pt idx="67">
                  <c:v>7118.93432476035</c:v>
                </c:pt>
                <c:pt idx="68">
                  <c:v>7217.51967860687</c:v>
                </c:pt>
                <c:pt idx="69">
                  <c:v>7326.65128877868</c:v>
                </c:pt>
                <c:pt idx="70">
                  <c:v>7429.00249532932</c:v>
                </c:pt>
                <c:pt idx="71">
                  <c:v>7531.95002863985</c:v>
                </c:pt>
                <c:pt idx="72">
                  <c:v>7634.02061889233</c:v>
                </c:pt>
                <c:pt idx="73">
                  <c:v>7734.27303017308</c:v>
                </c:pt>
                <c:pt idx="74">
                  <c:v>7834.75893566169</c:v>
                </c:pt>
                <c:pt idx="75">
                  <c:v>7937.31826002414</c:v>
                </c:pt>
                <c:pt idx="76">
                  <c:v>8053.5161461007</c:v>
                </c:pt>
                <c:pt idx="77">
                  <c:v>8186.41310654971</c:v>
                </c:pt>
                <c:pt idx="78">
                  <c:v>8301.49071377677</c:v>
                </c:pt>
                <c:pt idx="79">
                  <c:v>8409.35008451405</c:v>
                </c:pt>
                <c:pt idx="80">
                  <c:v>8514.62345621747</c:v>
                </c:pt>
                <c:pt idx="81">
                  <c:v>8619.52632521736</c:v>
                </c:pt>
                <c:pt idx="82">
                  <c:v>8726.38481083737</c:v>
                </c:pt>
                <c:pt idx="83">
                  <c:v>8835.60022862772</c:v>
                </c:pt>
                <c:pt idx="84">
                  <c:v>8941.39192991074</c:v>
                </c:pt>
                <c:pt idx="85">
                  <c:v>9051.29174720656</c:v>
                </c:pt>
                <c:pt idx="86">
                  <c:v>9165.44644524</c:v>
                </c:pt>
                <c:pt idx="87">
                  <c:v>9278.63738743367</c:v>
                </c:pt>
                <c:pt idx="88">
                  <c:v>9390.44687305714</c:v>
                </c:pt>
                <c:pt idx="89">
                  <c:v>9505.21918539063</c:v>
                </c:pt>
                <c:pt idx="90">
                  <c:v>9621.56813987678</c:v>
                </c:pt>
                <c:pt idx="91">
                  <c:v>9738.02967994868</c:v>
                </c:pt>
                <c:pt idx="92">
                  <c:v>9854.97479003287</c:v>
                </c:pt>
                <c:pt idx="93">
                  <c:v>9982.13732551386</c:v>
                </c:pt>
                <c:pt idx="94">
                  <c:v>10107.7054847274</c:v>
                </c:pt>
                <c:pt idx="95">
                  <c:v>10218.7515380134</c:v>
                </c:pt>
                <c:pt idx="96">
                  <c:v>10329.2724963081</c:v>
                </c:pt>
                <c:pt idx="97">
                  <c:v>10436.3515786269</c:v>
                </c:pt>
                <c:pt idx="98">
                  <c:v>10542.7548005995</c:v>
                </c:pt>
                <c:pt idx="99">
                  <c:v>10648.8637347783</c:v>
                </c:pt>
                <c:pt idx="100">
                  <c:v>10755.5082124342</c:v>
                </c:pt>
                <c:pt idx="101">
                  <c:v>10870.0650759093</c:v>
                </c:pt>
                <c:pt idx="102">
                  <c:v>10986.6952924967</c:v>
                </c:pt>
                <c:pt idx="103">
                  <c:v>11096.1010610057</c:v>
                </c:pt>
                <c:pt idx="104">
                  <c:v>11207.9098395307</c:v>
                </c:pt>
                <c:pt idx="105">
                  <c:v>11320.3725073316</c:v>
                </c:pt>
                <c:pt idx="106">
                  <c:v>11429.3158741355</c:v>
                </c:pt>
                <c:pt idx="107">
                  <c:v>11539.7599828398</c:v>
                </c:pt>
                <c:pt idx="108">
                  <c:v>11652.70767683</c:v>
                </c:pt>
                <c:pt idx="109">
                  <c:v>11767.2800754009</c:v>
                </c:pt>
                <c:pt idx="110">
                  <c:v>11882.5463225477</c:v>
                </c:pt>
                <c:pt idx="111">
                  <c:v>11995.523273348</c:v>
                </c:pt>
                <c:pt idx="112">
                  <c:v>12105.5863811641</c:v>
                </c:pt>
                <c:pt idx="113">
                  <c:v>12215.6729678298</c:v>
                </c:pt>
                <c:pt idx="114">
                  <c:v>12331.4950569635</c:v>
                </c:pt>
                <c:pt idx="115">
                  <c:v>12442.718275766</c:v>
                </c:pt>
                <c:pt idx="116">
                  <c:v>12555.0186430655</c:v>
                </c:pt>
                <c:pt idx="117">
                  <c:v>12668.4255584798</c:v>
                </c:pt>
                <c:pt idx="118">
                  <c:v>12781.3134367838</c:v>
                </c:pt>
                <c:pt idx="119">
                  <c:v>12896.441372986</c:v>
                </c:pt>
                <c:pt idx="120">
                  <c:v>13010.4787576526</c:v>
                </c:pt>
                <c:pt idx="121">
                  <c:v>13135.4877272051</c:v>
                </c:pt>
                <c:pt idx="122">
                  <c:v>13273.1724724912</c:v>
                </c:pt>
                <c:pt idx="123">
                  <c:v>13390.0493164769</c:v>
                </c:pt>
                <c:pt idx="124">
                  <c:v>13502.6909880762</c:v>
                </c:pt>
                <c:pt idx="125">
                  <c:v>13612.1153502703</c:v>
                </c:pt>
                <c:pt idx="126">
                  <c:v>13723.1588696731</c:v>
                </c:pt>
                <c:pt idx="127">
                  <c:v>13831.4360150473</c:v>
                </c:pt>
                <c:pt idx="128">
                  <c:v>13940.665909118</c:v>
                </c:pt>
                <c:pt idx="129">
                  <c:v>14060.0224017393</c:v>
                </c:pt>
                <c:pt idx="130">
                  <c:v>14170.7073203205</c:v>
                </c:pt>
                <c:pt idx="131">
                  <c:v>14279.0361749999</c:v>
                </c:pt>
                <c:pt idx="132">
                  <c:v>14388.9860473242</c:v>
                </c:pt>
                <c:pt idx="133">
                  <c:v>14499.2236224961</c:v>
                </c:pt>
                <c:pt idx="134">
                  <c:v>14604.810496044</c:v>
                </c:pt>
                <c:pt idx="135">
                  <c:v>14712.6680836165</c:v>
                </c:pt>
                <c:pt idx="136">
                  <c:v>14821.4296958726</c:v>
                </c:pt>
                <c:pt idx="137">
                  <c:v>14932.5916573962</c:v>
                </c:pt>
                <c:pt idx="138">
                  <c:v>15044.0010333806</c:v>
                </c:pt>
                <c:pt idx="139">
                  <c:v>15150.3285270407</c:v>
                </c:pt>
                <c:pt idx="140">
                  <c:v>15256.7202310895</c:v>
                </c:pt>
                <c:pt idx="141">
                  <c:v>15363.1605555816</c:v>
                </c:pt>
                <c:pt idx="142">
                  <c:v>15464.0726976637</c:v>
                </c:pt>
                <c:pt idx="143">
                  <c:v>15567.2518819124</c:v>
                </c:pt>
                <c:pt idx="144">
                  <c:v>15667.876845628</c:v>
                </c:pt>
                <c:pt idx="145">
                  <c:v>15769.9648709358</c:v>
                </c:pt>
                <c:pt idx="146">
                  <c:v>15873.5643734905</c:v>
                </c:pt>
                <c:pt idx="147">
                  <c:v>15977.8718328582</c:v>
                </c:pt>
                <c:pt idx="148">
                  <c:v>16089.8445842918</c:v>
                </c:pt>
                <c:pt idx="149">
                  <c:v>16199.2460878548</c:v>
                </c:pt>
                <c:pt idx="150">
                  <c:v>16309.5145850398</c:v>
                </c:pt>
                <c:pt idx="151">
                  <c:v>16420.6705857759</c:v>
                </c:pt>
                <c:pt idx="152">
                  <c:v>16528.1062705597</c:v>
                </c:pt>
                <c:pt idx="153">
                  <c:v>16633.5008418299</c:v>
                </c:pt>
                <c:pt idx="154">
                  <c:v>16737.6919353873</c:v>
                </c:pt>
                <c:pt idx="155">
                  <c:v>16845.4510691541</c:v>
                </c:pt>
                <c:pt idx="156">
                  <c:v>16951.0179845594</c:v>
                </c:pt>
                <c:pt idx="157">
                  <c:v>17058.2698327704</c:v>
                </c:pt>
                <c:pt idx="158">
                  <c:v>17164.2160591666</c:v>
                </c:pt>
                <c:pt idx="159">
                  <c:v>17269.8054464094</c:v>
                </c:pt>
                <c:pt idx="160">
                  <c:v>17378.1500568562</c:v>
                </c:pt>
                <c:pt idx="161">
                  <c:v>17481.8927046466</c:v>
                </c:pt>
                <c:pt idx="162">
                  <c:v>17586.2092839023</c:v>
                </c:pt>
                <c:pt idx="163">
                  <c:v>17685.6021430908</c:v>
                </c:pt>
                <c:pt idx="164">
                  <c:v>17784.2921949541</c:v>
                </c:pt>
                <c:pt idx="165">
                  <c:v>17881.0951380186</c:v>
                </c:pt>
                <c:pt idx="166">
                  <c:v>17981.6643452477</c:v>
                </c:pt>
                <c:pt idx="167">
                  <c:v>18084.9897966039</c:v>
                </c:pt>
                <c:pt idx="168">
                  <c:v>18188.8071496042</c:v>
                </c:pt>
                <c:pt idx="169">
                  <c:v>18290.7024943203</c:v>
                </c:pt>
                <c:pt idx="170">
                  <c:v>18395.4732996461</c:v>
                </c:pt>
                <c:pt idx="171">
                  <c:v>18501.9932930534</c:v>
                </c:pt>
                <c:pt idx="172">
                  <c:v>18607.7885398285</c:v>
                </c:pt>
                <c:pt idx="173">
                  <c:v>18708.9259989697</c:v>
                </c:pt>
                <c:pt idx="174">
                  <c:v>18813.02373283</c:v>
                </c:pt>
                <c:pt idx="175">
                  <c:v>18916.2072897122</c:v>
                </c:pt>
                <c:pt idx="176">
                  <c:v>19022.4772947604</c:v>
                </c:pt>
                <c:pt idx="177">
                  <c:v>19122.3131956142</c:v>
                </c:pt>
                <c:pt idx="178">
                  <c:v>19229.3886920463</c:v>
                </c:pt>
                <c:pt idx="179">
                  <c:v>19338.350799108</c:v>
                </c:pt>
                <c:pt idx="180">
                  <c:v>19443.4635490726</c:v>
                </c:pt>
                <c:pt idx="181">
                  <c:v>19548.9312494506</c:v>
                </c:pt>
                <c:pt idx="182">
                  <c:v>19656.2517336981</c:v>
                </c:pt>
                <c:pt idx="183">
                  <c:v>19757.8488391653</c:v>
                </c:pt>
                <c:pt idx="184">
                  <c:v>19862.7339671281</c:v>
                </c:pt>
                <c:pt idx="185">
                  <c:v>19963.1425751146</c:v>
                </c:pt>
                <c:pt idx="186">
                  <c:v>20065.2566924976</c:v>
                </c:pt>
                <c:pt idx="187">
                  <c:v>20164.2322300635</c:v>
                </c:pt>
                <c:pt idx="188">
                  <c:v>20263.2141555426</c:v>
                </c:pt>
                <c:pt idx="189">
                  <c:v>20362.1813327686</c:v>
                </c:pt>
                <c:pt idx="190">
                  <c:v>20457.6722552586</c:v>
                </c:pt>
                <c:pt idx="191">
                  <c:v>20556.4832275523</c:v>
                </c:pt>
                <c:pt idx="192">
                  <c:v>20658.7639825176</c:v>
                </c:pt>
                <c:pt idx="193">
                  <c:v>20757.4350089405</c:v>
                </c:pt>
                <c:pt idx="194">
                  <c:v>20859.6472974128</c:v>
                </c:pt>
                <c:pt idx="195">
                  <c:v>20956.1986323195</c:v>
                </c:pt>
                <c:pt idx="196">
                  <c:v>21044.8760985637</c:v>
                </c:pt>
                <c:pt idx="197">
                  <c:v>21142.6714200795</c:v>
                </c:pt>
                <c:pt idx="198">
                  <c:v>21234.29730146</c:v>
                </c:pt>
                <c:pt idx="199">
                  <c:v>21327.4166298303</c:v>
                </c:pt>
                <c:pt idx="200">
                  <c:v>21418.0241683898</c:v>
                </c:pt>
                <c:pt idx="201">
                  <c:v>21512.1665018745</c:v>
                </c:pt>
                <c:pt idx="202">
                  <c:v>21616.3071832913</c:v>
                </c:pt>
                <c:pt idx="203">
                  <c:v>21711.7115486273</c:v>
                </c:pt>
                <c:pt idx="204">
                  <c:v>21808.7691927866</c:v>
                </c:pt>
                <c:pt idx="205">
                  <c:v>21905.3313597511</c:v>
                </c:pt>
                <c:pt idx="206">
                  <c:v>21999.096808707</c:v>
                </c:pt>
                <c:pt idx="207">
                  <c:v>22089.8990052544</c:v>
                </c:pt>
                <c:pt idx="208">
                  <c:v>22179.8950289574</c:v>
                </c:pt>
                <c:pt idx="209">
                  <c:v>22266.6612404832</c:v>
                </c:pt>
                <c:pt idx="210">
                  <c:v>22362.0371341729</c:v>
                </c:pt>
                <c:pt idx="211">
                  <c:v>22454.2173132527</c:v>
                </c:pt>
                <c:pt idx="212">
                  <c:v>22550.4802637824</c:v>
                </c:pt>
                <c:pt idx="213">
                  <c:v>22645.9537336197</c:v>
                </c:pt>
                <c:pt idx="214">
                  <c:v>22737.9918728048</c:v>
                </c:pt>
                <c:pt idx="215">
                  <c:v>22831.6381512867</c:v>
                </c:pt>
                <c:pt idx="216">
                  <c:v>22913.6155709605</c:v>
                </c:pt>
                <c:pt idx="217">
                  <c:v>23007.7155151987</c:v>
                </c:pt>
                <c:pt idx="218">
                  <c:v>23097.9961439136</c:v>
                </c:pt>
                <c:pt idx="219">
                  <c:v>23189.8488064933</c:v>
                </c:pt>
                <c:pt idx="220">
                  <c:v>23274.7679300442</c:v>
                </c:pt>
                <c:pt idx="221">
                  <c:v>23378.524293231</c:v>
                </c:pt>
                <c:pt idx="222">
                  <c:v>23463.6347912643</c:v>
                </c:pt>
                <c:pt idx="223">
                  <c:v>23559.1990158703</c:v>
                </c:pt>
                <c:pt idx="224">
                  <c:v>23644.292424351</c:v>
                </c:pt>
                <c:pt idx="225">
                  <c:v>23737.0528531733</c:v>
                </c:pt>
                <c:pt idx="226">
                  <c:v>23821.9972190532</c:v>
                </c:pt>
                <c:pt idx="227">
                  <c:v>23905.1533674393</c:v>
                </c:pt>
                <c:pt idx="228">
                  <c:v>23996.2536041224</c:v>
                </c:pt>
                <c:pt idx="229">
                  <c:v>24079.0013177793</c:v>
                </c:pt>
                <c:pt idx="230">
                  <c:v>24159.7367737408</c:v>
                </c:pt>
                <c:pt idx="231">
                  <c:v>24252.1422348903</c:v>
                </c:pt>
                <c:pt idx="232">
                  <c:v>24335.737688536</c:v>
                </c:pt>
                <c:pt idx="233">
                  <c:v>24424.3334608599</c:v>
                </c:pt>
                <c:pt idx="234">
                  <c:v>24507.2621457313</c:v>
                </c:pt>
                <c:pt idx="235">
                  <c:v>24606.4224995072</c:v>
                </c:pt>
                <c:pt idx="236">
                  <c:v>24688.7234382139</c:v>
                </c:pt>
                <c:pt idx="237">
                  <c:v>24776.2690961849</c:v>
                </c:pt>
                <c:pt idx="238">
                  <c:v>24861.5037935602</c:v>
                </c:pt>
                <c:pt idx="239">
                  <c:v>24944.2825185629</c:v>
                </c:pt>
                <c:pt idx="240">
                  <c:v>25040.6534127971</c:v>
                </c:pt>
                <c:pt idx="241">
                  <c:v>25126.5882673149</c:v>
                </c:pt>
                <c:pt idx="242">
                  <c:v>25209.8870031404</c:v>
                </c:pt>
                <c:pt idx="243">
                  <c:v>25298.9421777225</c:v>
                </c:pt>
                <c:pt idx="244">
                  <c:v>25389.6960848411</c:v>
                </c:pt>
                <c:pt idx="245">
                  <c:v>25477.7755081948</c:v>
                </c:pt>
                <c:pt idx="246">
                  <c:v>25567.5313839017</c:v>
                </c:pt>
                <c:pt idx="247">
                  <c:v>25645.1964046022</c:v>
                </c:pt>
                <c:pt idx="248">
                  <c:v>25780.7383230709</c:v>
                </c:pt>
                <c:pt idx="249">
                  <c:v>25876.5730990583</c:v>
                </c:pt>
                <c:pt idx="250">
                  <c:v>25969.494184888</c:v>
                </c:pt>
                <c:pt idx="251">
                  <c:v>26049.2257494299</c:v>
                </c:pt>
                <c:pt idx="252">
                  <c:v>26125.2555552789</c:v>
                </c:pt>
                <c:pt idx="253">
                  <c:v>26207.7750183405</c:v>
                </c:pt>
                <c:pt idx="254">
                  <c:v>26291.8207072083</c:v>
                </c:pt>
                <c:pt idx="255">
                  <c:v>26377.4571906477</c:v>
                </c:pt>
                <c:pt idx="256">
                  <c:v>26459.2473756779</c:v>
                </c:pt>
                <c:pt idx="257">
                  <c:v>26525.7703417302</c:v>
                </c:pt>
                <c:pt idx="258">
                  <c:v>26598.972155163</c:v>
                </c:pt>
                <c:pt idx="259">
                  <c:v>26667.6281087828</c:v>
                </c:pt>
                <c:pt idx="260">
                  <c:v>26749.0934656062</c:v>
                </c:pt>
                <c:pt idx="261">
                  <c:v>26832.0895936944</c:v>
                </c:pt>
                <c:pt idx="262">
                  <c:v>26904.4972737109</c:v>
                </c:pt>
                <c:pt idx="263">
                  <c:v>26990.5142853472</c:v>
                </c:pt>
                <c:pt idx="264">
                  <c:v>27065.6179933913</c:v>
                </c:pt>
                <c:pt idx="265">
                  <c:v>27142.0434615644</c:v>
                </c:pt>
                <c:pt idx="266">
                  <c:v>27219.843838399</c:v>
                </c:pt>
                <c:pt idx="267">
                  <c:v>27285.7684467915</c:v>
                </c:pt>
                <c:pt idx="268">
                  <c:v>27352.721719451</c:v>
                </c:pt>
                <c:pt idx="269">
                  <c:v>27427.6021460803</c:v>
                </c:pt>
                <c:pt idx="270">
                  <c:v>27496.8371468537</c:v>
                </c:pt>
                <c:pt idx="271">
                  <c:v>27567.2211096169</c:v>
                </c:pt>
                <c:pt idx="272">
                  <c:v>27631.5849458696</c:v>
                </c:pt>
                <c:pt idx="273">
                  <c:v>27711.6125704851</c:v>
                </c:pt>
                <c:pt idx="274">
                  <c:v>27770.7891738738</c:v>
                </c:pt>
                <c:pt idx="275">
                  <c:v>27823.265388603</c:v>
                </c:pt>
                <c:pt idx="276">
                  <c:v>27899.3978543688</c:v>
                </c:pt>
                <c:pt idx="277">
                  <c:v>27969.1328489313</c:v>
                </c:pt>
                <c:pt idx="278">
                  <c:v>28016.2853520864</c:v>
                </c:pt>
                <c:pt idx="279">
                  <c:v>28088.0423092612</c:v>
                </c:pt>
                <c:pt idx="280">
                  <c:v>28136.5868698641</c:v>
                </c:pt>
                <c:pt idx="281">
                  <c:v>28202.2225023658</c:v>
                </c:pt>
                <c:pt idx="282">
                  <c:v>28260.5336473945</c:v>
                </c:pt>
                <c:pt idx="283">
                  <c:v>28311.1895549645</c:v>
                </c:pt>
                <c:pt idx="284">
                  <c:v>28371.1003355946</c:v>
                </c:pt>
                <c:pt idx="285">
                  <c:v>28414.4446871617</c:v>
                </c:pt>
                <c:pt idx="286">
                  <c:v>28475.9219359842</c:v>
                </c:pt>
                <c:pt idx="287">
                  <c:v>28538.3560829989</c:v>
                </c:pt>
                <c:pt idx="288">
                  <c:v>28601.7810708666</c:v>
                </c:pt>
                <c:pt idx="289">
                  <c:v>28666.2327489978</c:v>
                </c:pt>
                <c:pt idx="290">
                  <c:v>28722.3228793753</c:v>
                </c:pt>
                <c:pt idx="291">
                  <c:v>28779.220284362</c:v>
                </c:pt>
                <c:pt idx="292">
                  <c:v>28807.9799245809</c:v>
                </c:pt>
                <c:pt idx="293">
                  <c:v>28866.1382383746</c:v>
                </c:pt>
                <c:pt idx="294">
                  <c:v>28925.1725212636</c:v>
                </c:pt>
                <c:pt idx="295">
                  <c:v>28965.0301321335</c:v>
                </c:pt>
                <c:pt idx="296">
                  <c:v>29015.4325608598</c:v>
                </c:pt>
              </c:numCache>
            </c:numRef>
          </c:yVal>
          <c:smooth val="0"/>
        </c:ser>
        <c:axId val="15021419"/>
        <c:axId val="73812541"/>
      </c:scatterChart>
      <c:valAx>
        <c:axId val="15021419"/>
        <c:scaling>
          <c:orientation val="minMax"/>
          <c:max val="1100"/>
          <c:min val="0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minorGridlines>
          <c:spPr>
            <a:ln w="0">
              <a:solidFill>
                <a:srgbClr val="DDDDDD"/>
              </a:solidFill>
            </a:ln>
          </c:spPr>
        </c:min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Pressure (hPa)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73812541"/>
        <c:crossesAt val="0"/>
        <c:crossBetween val="midCat"/>
      </c:valAx>
      <c:valAx>
        <c:axId val="7381254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minorGridlines>
          <c:spPr>
            <a:ln w="0">
              <a:solidFill>
                <a:srgbClr val="DDDDDD"/>
              </a:solidFill>
            </a:ln>
          </c:spPr>
        </c:min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Altitude (m)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1502141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59659581466102"/>
          <c:y val="0.15452907874421"/>
          <c:w val="0.283517658183612"/>
          <c:h val="0.139282038085435"/>
        </c:manualLayout>
      </c:layout>
      <c:overlay val="0"/>
      <c:spPr>
        <a:solidFill>
          <a:srgbClr val="D9D9D9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Temperature vs altitude - upward trajectory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IRM balloon flight 27/9/2026</a:t>
            </a:r>
          </a:p>
        </c:rich>
      </c:tx>
      <c:layout>
        <c:manualLayout>
          <c:xMode val="edge"/>
          <c:yMode val="edge"/>
          <c:x val="0.294786096256685"/>
          <c:y val="0.0078446645154111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940285204991087"/>
          <c:y val="0.0834538778235229"/>
          <c:w val="0.889111705288176"/>
          <c:h val="0.852509179926561"/>
        </c:manualLayout>
      </c:layout>
      <c:scatterChart>
        <c:scatterStyle val="line"/>
        <c:varyColors val="0"/>
        <c:ser>
          <c:idx val="0"/>
          <c:order val="0"/>
          <c:tx>
            <c:strRef>
              <c:f>"Outside payload temperature"</c:f>
              <c:strCache>
                <c:ptCount val="1"/>
                <c:pt idx="0">
                  <c:v>Outside payload temperature</c:v>
                </c:pt>
              </c:strCache>
            </c:strRef>
          </c:tx>
          <c:spPr>
            <a:solidFill>
              <a:srgbClr val="1C99E0"/>
            </a:solidFill>
            <a:ln w="14400">
              <a:solidFill>
                <a:srgbClr val="1C99E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44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'Flight data'!$G$2:$G$301</c:f>
              <c:numCache>
                <c:formatCode>General</c:formatCode>
                <c:ptCount val="300"/>
                <c:pt idx="0">
                  <c:v>105</c:v>
                </c:pt>
                <c:pt idx="1">
                  <c:v>132</c:v>
                </c:pt>
                <c:pt idx="2">
                  <c:v>253</c:v>
                </c:pt>
                <c:pt idx="3">
                  <c:v>354</c:v>
                </c:pt>
                <c:pt idx="4">
                  <c:v>441</c:v>
                </c:pt>
                <c:pt idx="5">
                  <c:v>564</c:v>
                </c:pt>
                <c:pt idx="6">
                  <c:v>724</c:v>
                </c:pt>
                <c:pt idx="7">
                  <c:v>876</c:v>
                </c:pt>
                <c:pt idx="8">
                  <c:v>986</c:v>
                </c:pt>
                <c:pt idx="9">
                  <c:v>1093</c:v>
                </c:pt>
                <c:pt idx="10">
                  <c:v>1208</c:v>
                </c:pt>
                <c:pt idx="11">
                  <c:v>1327</c:v>
                </c:pt>
                <c:pt idx="12">
                  <c:v>1427</c:v>
                </c:pt>
                <c:pt idx="13">
                  <c:v>1531</c:v>
                </c:pt>
                <c:pt idx="14">
                  <c:v>1627</c:v>
                </c:pt>
                <c:pt idx="15">
                  <c:v>1734</c:v>
                </c:pt>
                <c:pt idx="16">
                  <c:v>1860</c:v>
                </c:pt>
                <c:pt idx="17">
                  <c:v>1986</c:v>
                </c:pt>
                <c:pt idx="18">
                  <c:v>2113</c:v>
                </c:pt>
                <c:pt idx="19">
                  <c:v>2185</c:v>
                </c:pt>
                <c:pt idx="20">
                  <c:v>2282</c:v>
                </c:pt>
                <c:pt idx="21">
                  <c:v>2398</c:v>
                </c:pt>
                <c:pt idx="22">
                  <c:v>2507</c:v>
                </c:pt>
                <c:pt idx="23">
                  <c:v>2631</c:v>
                </c:pt>
                <c:pt idx="24">
                  <c:v>2754</c:v>
                </c:pt>
                <c:pt idx="25">
                  <c:v>2894</c:v>
                </c:pt>
                <c:pt idx="26">
                  <c:v>3008</c:v>
                </c:pt>
                <c:pt idx="27">
                  <c:v>3127</c:v>
                </c:pt>
                <c:pt idx="28">
                  <c:v>3234</c:v>
                </c:pt>
                <c:pt idx="29">
                  <c:v>3356</c:v>
                </c:pt>
                <c:pt idx="30">
                  <c:v>3479</c:v>
                </c:pt>
                <c:pt idx="31">
                  <c:v>3580</c:v>
                </c:pt>
                <c:pt idx="32">
                  <c:v>3683</c:v>
                </c:pt>
                <c:pt idx="33">
                  <c:v>3780</c:v>
                </c:pt>
                <c:pt idx="34">
                  <c:v>3882</c:v>
                </c:pt>
                <c:pt idx="35">
                  <c:v>3987</c:v>
                </c:pt>
                <c:pt idx="36">
                  <c:v>4095</c:v>
                </c:pt>
                <c:pt idx="37">
                  <c:v>4198</c:v>
                </c:pt>
                <c:pt idx="38">
                  <c:v>4320</c:v>
                </c:pt>
                <c:pt idx="39">
                  <c:v>4425</c:v>
                </c:pt>
                <c:pt idx="40">
                  <c:v>4524</c:v>
                </c:pt>
                <c:pt idx="41">
                  <c:v>4623</c:v>
                </c:pt>
                <c:pt idx="42">
                  <c:v>4723</c:v>
                </c:pt>
                <c:pt idx="43">
                  <c:v>4828</c:v>
                </c:pt>
                <c:pt idx="44">
                  <c:v>4926</c:v>
                </c:pt>
                <c:pt idx="45">
                  <c:v>5029</c:v>
                </c:pt>
                <c:pt idx="46">
                  <c:v>5125</c:v>
                </c:pt>
                <c:pt idx="47">
                  <c:v>5221</c:v>
                </c:pt>
                <c:pt idx="48">
                  <c:v>5325</c:v>
                </c:pt>
                <c:pt idx="49">
                  <c:v>5431</c:v>
                </c:pt>
                <c:pt idx="50">
                  <c:v>5536</c:v>
                </c:pt>
                <c:pt idx="51">
                  <c:v>5640</c:v>
                </c:pt>
                <c:pt idx="52">
                  <c:v>5743</c:v>
                </c:pt>
                <c:pt idx="53">
                  <c:v>5845</c:v>
                </c:pt>
                <c:pt idx="54">
                  <c:v>5957</c:v>
                </c:pt>
                <c:pt idx="55">
                  <c:v>6056</c:v>
                </c:pt>
                <c:pt idx="56">
                  <c:v>6157</c:v>
                </c:pt>
                <c:pt idx="57">
                  <c:v>6256</c:v>
                </c:pt>
                <c:pt idx="58">
                  <c:v>6355</c:v>
                </c:pt>
                <c:pt idx="59">
                  <c:v>6452</c:v>
                </c:pt>
                <c:pt idx="60">
                  <c:v>6553</c:v>
                </c:pt>
                <c:pt idx="61">
                  <c:v>6658</c:v>
                </c:pt>
                <c:pt idx="62">
                  <c:v>6748</c:v>
                </c:pt>
                <c:pt idx="63">
                  <c:v>6842</c:v>
                </c:pt>
                <c:pt idx="64">
                  <c:v>6934</c:v>
                </c:pt>
                <c:pt idx="65">
                  <c:v>7031</c:v>
                </c:pt>
                <c:pt idx="66">
                  <c:v>7124</c:v>
                </c:pt>
                <c:pt idx="67">
                  <c:v>7226</c:v>
                </c:pt>
                <c:pt idx="68">
                  <c:v>7337</c:v>
                </c:pt>
                <c:pt idx="69">
                  <c:v>7441</c:v>
                </c:pt>
                <c:pt idx="70">
                  <c:v>7541</c:v>
                </c:pt>
                <c:pt idx="71">
                  <c:v>7643</c:v>
                </c:pt>
                <c:pt idx="72">
                  <c:v>7742</c:v>
                </c:pt>
                <c:pt idx="73">
                  <c:v>7841</c:v>
                </c:pt>
                <c:pt idx="74">
                  <c:v>7946</c:v>
                </c:pt>
                <c:pt idx="75">
                  <c:v>8063</c:v>
                </c:pt>
                <c:pt idx="76">
                  <c:v>8194</c:v>
                </c:pt>
                <c:pt idx="77">
                  <c:v>8311</c:v>
                </c:pt>
                <c:pt idx="78">
                  <c:v>8418</c:v>
                </c:pt>
                <c:pt idx="79">
                  <c:v>8526</c:v>
                </c:pt>
                <c:pt idx="80">
                  <c:v>8637</c:v>
                </c:pt>
                <c:pt idx="81">
                  <c:v>8741</c:v>
                </c:pt>
                <c:pt idx="82">
                  <c:v>8846</c:v>
                </c:pt>
                <c:pt idx="83">
                  <c:v>8951</c:v>
                </c:pt>
                <c:pt idx="84">
                  <c:v>9057</c:v>
                </c:pt>
                <c:pt idx="85">
                  <c:v>9174</c:v>
                </c:pt>
                <c:pt idx="86">
                  <c:v>9287</c:v>
                </c:pt>
                <c:pt idx="87">
                  <c:v>9395</c:v>
                </c:pt>
                <c:pt idx="88">
                  <c:v>9511</c:v>
                </c:pt>
                <c:pt idx="89">
                  <c:v>9626</c:v>
                </c:pt>
                <c:pt idx="90">
                  <c:v>9740</c:v>
                </c:pt>
                <c:pt idx="91">
                  <c:v>9852</c:v>
                </c:pt>
                <c:pt idx="92">
                  <c:v>9975</c:v>
                </c:pt>
                <c:pt idx="93">
                  <c:v>10109</c:v>
                </c:pt>
                <c:pt idx="94">
                  <c:v>10222</c:v>
                </c:pt>
                <c:pt idx="95">
                  <c:v>10330</c:v>
                </c:pt>
                <c:pt idx="96">
                  <c:v>10436</c:v>
                </c:pt>
                <c:pt idx="97">
                  <c:v>10539</c:v>
                </c:pt>
                <c:pt idx="98">
                  <c:v>10647</c:v>
                </c:pt>
                <c:pt idx="99">
                  <c:v>10758</c:v>
                </c:pt>
                <c:pt idx="100">
                  <c:v>10868</c:v>
                </c:pt>
                <c:pt idx="101">
                  <c:v>10982</c:v>
                </c:pt>
                <c:pt idx="102">
                  <c:v>11089</c:v>
                </c:pt>
                <c:pt idx="103">
                  <c:v>11195</c:v>
                </c:pt>
                <c:pt idx="104">
                  <c:v>11306</c:v>
                </c:pt>
                <c:pt idx="105">
                  <c:v>11411</c:v>
                </c:pt>
                <c:pt idx="106">
                  <c:v>11524</c:v>
                </c:pt>
                <c:pt idx="107">
                  <c:v>11639</c:v>
                </c:pt>
                <c:pt idx="108">
                  <c:v>11750</c:v>
                </c:pt>
                <c:pt idx="109">
                  <c:v>11861</c:v>
                </c:pt>
                <c:pt idx="110">
                  <c:v>11979</c:v>
                </c:pt>
                <c:pt idx="111">
                  <c:v>12091</c:v>
                </c:pt>
                <c:pt idx="112">
                  <c:v>12197</c:v>
                </c:pt>
                <c:pt idx="113">
                  <c:v>12309</c:v>
                </c:pt>
                <c:pt idx="114">
                  <c:v>12417</c:v>
                </c:pt>
                <c:pt idx="115">
                  <c:v>12526</c:v>
                </c:pt>
                <c:pt idx="116">
                  <c:v>12636</c:v>
                </c:pt>
                <c:pt idx="117">
                  <c:v>12747</c:v>
                </c:pt>
                <c:pt idx="118">
                  <c:v>12859</c:v>
                </c:pt>
                <c:pt idx="119">
                  <c:v>12977</c:v>
                </c:pt>
                <c:pt idx="120">
                  <c:v>13101</c:v>
                </c:pt>
                <c:pt idx="121">
                  <c:v>13242</c:v>
                </c:pt>
                <c:pt idx="122">
                  <c:v>13358</c:v>
                </c:pt>
                <c:pt idx="123">
                  <c:v>13476</c:v>
                </c:pt>
                <c:pt idx="124">
                  <c:v>13593</c:v>
                </c:pt>
                <c:pt idx="125">
                  <c:v>13703</c:v>
                </c:pt>
                <c:pt idx="126">
                  <c:v>13812</c:v>
                </c:pt>
                <c:pt idx="127">
                  <c:v>13922</c:v>
                </c:pt>
                <c:pt idx="128">
                  <c:v>14042</c:v>
                </c:pt>
                <c:pt idx="129">
                  <c:v>14163</c:v>
                </c:pt>
                <c:pt idx="130">
                  <c:v>14282</c:v>
                </c:pt>
                <c:pt idx="131">
                  <c:v>14394</c:v>
                </c:pt>
                <c:pt idx="132">
                  <c:v>14508</c:v>
                </c:pt>
                <c:pt idx="133">
                  <c:v>14618</c:v>
                </c:pt>
                <c:pt idx="134">
                  <c:v>14728</c:v>
                </c:pt>
                <c:pt idx="135">
                  <c:v>14843</c:v>
                </c:pt>
                <c:pt idx="136">
                  <c:v>14966</c:v>
                </c:pt>
                <c:pt idx="137">
                  <c:v>15090</c:v>
                </c:pt>
                <c:pt idx="138">
                  <c:v>15206</c:v>
                </c:pt>
                <c:pt idx="139">
                  <c:v>15319</c:v>
                </c:pt>
                <c:pt idx="140">
                  <c:v>15436</c:v>
                </c:pt>
                <c:pt idx="141">
                  <c:v>15543</c:v>
                </c:pt>
                <c:pt idx="142">
                  <c:v>15658</c:v>
                </c:pt>
                <c:pt idx="143">
                  <c:v>15767</c:v>
                </c:pt>
                <c:pt idx="144">
                  <c:v>15885</c:v>
                </c:pt>
                <c:pt idx="145">
                  <c:v>16004</c:v>
                </c:pt>
                <c:pt idx="146">
                  <c:v>16120</c:v>
                </c:pt>
                <c:pt idx="147">
                  <c:v>16242</c:v>
                </c:pt>
                <c:pt idx="148">
                  <c:v>16363</c:v>
                </c:pt>
                <c:pt idx="149">
                  <c:v>16487</c:v>
                </c:pt>
                <c:pt idx="150">
                  <c:v>16620</c:v>
                </c:pt>
                <c:pt idx="151">
                  <c:v>16749</c:v>
                </c:pt>
                <c:pt idx="152">
                  <c:v>16867</c:v>
                </c:pt>
                <c:pt idx="153">
                  <c:v>16984</c:v>
                </c:pt>
                <c:pt idx="154">
                  <c:v>17107</c:v>
                </c:pt>
                <c:pt idx="155">
                  <c:v>17226</c:v>
                </c:pt>
                <c:pt idx="156">
                  <c:v>17354</c:v>
                </c:pt>
                <c:pt idx="157">
                  <c:v>17487</c:v>
                </c:pt>
                <c:pt idx="158">
                  <c:v>17609</c:v>
                </c:pt>
                <c:pt idx="159">
                  <c:v>17733</c:v>
                </c:pt>
                <c:pt idx="160">
                  <c:v>17858</c:v>
                </c:pt>
                <c:pt idx="161">
                  <c:v>17988</c:v>
                </c:pt>
                <c:pt idx="162">
                  <c:v>18114</c:v>
                </c:pt>
                <c:pt idx="163">
                  <c:v>18231</c:v>
                </c:pt>
                <c:pt idx="164">
                  <c:v>18348</c:v>
                </c:pt>
                <c:pt idx="165">
                  <c:v>18473</c:v>
                </c:pt>
                <c:pt idx="166">
                  <c:v>18596</c:v>
                </c:pt>
                <c:pt idx="167">
                  <c:v>18730</c:v>
                </c:pt>
                <c:pt idx="168">
                  <c:v>18863</c:v>
                </c:pt>
                <c:pt idx="169">
                  <c:v>18989</c:v>
                </c:pt>
                <c:pt idx="170">
                  <c:v>19118</c:v>
                </c:pt>
                <c:pt idx="171">
                  <c:v>19250</c:v>
                </c:pt>
                <c:pt idx="172">
                  <c:v>19377</c:v>
                </c:pt>
                <c:pt idx="173">
                  <c:v>19512</c:v>
                </c:pt>
                <c:pt idx="174">
                  <c:v>19648</c:v>
                </c:pt>
                <c:pt idx="175">
                  <c:v>19779</c:v>
                </c:pt>
                <c:pt idx="176">
                  <c:v>19908</c:v>
                </c:pt>
                <c:pt idx="177">
                  <c:v>20039</c:v>
                </c:pt>
                <c:pt idx="178">
                  <c:v>20176</c:v>
                </c:pt>
                <c:pt idx="179">
                  <c:v>20308</c:v>
                </c:pt>
                <c:pt idx="180">
                  <c:v>20455</c:v>
                </c:pt>
                <c:pt idx="181">
                  <c:v>20596</c:v>
                </c:pt>
                <c:pt idx="182">
                  <c:v>20731</c:v>
                </c:pt>
                <c:pt idx="183">
                  <c:v>20866</c:v>
                </c:pt>
                <c:pt idx="184">
                  <c:v>20998</c:v>
                </c:pt>
                <c:pt idx="185">
                  <c:v>21129</c:v>
                </c:pt>
                <c:pt idx="186">
                  <c:v>21269</c:v>
                </c:pt>
                <c:pt idx="187">
                  <c:v>21408</c:v>
                </c:pt>
                <c:pt idx="188">
                  <c:v>21536</c:v>
                </c:pt>
                <c:pt idx="189">
                  <c:v>21665</c:v>
                </c:pt>
                <c:pt idx="190">
                  <c:v>21799</c:v>
                </c:pt>
                <c:pt idx="191">
                  <c:v>21935</c:v>
                </c:pt>
                <c:pt idx="192">
                  <c:v>22080</c:v>
                </c:pt>
                <c:pt idx="193">
                  <c:v>22211</c:v>
                </c:pt>
                <c:pt idx="194">
                  <c:v>22350</c:v>
                </c:pt>
                <c:pt idx="195">
                  <c:v>22482</c:v>
                </c:pt>
                <c:pt idx="196">
                  <c:v>22610</c:v>
                </c:pt>
                <c:pt idx="197">
                  <c:v>22746</c:v>
                </c:pt>
                <c:pt idx="198">
                  <c:v>22874</c:v>
                </c:pt>
                <c:pt idx="199">
                  <c:v>23005</c:v>
                </c:pt>
                <c:pt idx="200">
                  <c:v>23148</c:v>
                </c:pt>
                <c:pt idx="201">
                  <c:v>23297</c:v>
                </c:pt>
                <c:pt idx="202">
                  <c:v>23439</c:v>
                </c:pt>
                <c:pt idx="203">
                  <c:v>23580</c:v>
                </c:pt>
                <c:pt idx="204">
                  <c:v>23720</c:v>
                </c:pt>
                <c:pt idx="205">
                  <c:v>23855</c:v>
                </c:pt>
                <c:pt idx="206">
                  <c:v>23988</c:v>
                </c:pt>
                <c:pt idx="207">
                  <c:v>24129</c:v>
                </c:pt>
                <c:pt idx="208">
                  <c:v>24274</c:v>
                </c:pt>
                <c:pt idx="209">
                  <c:v>24407</c:v>
                </c:pt>
                <c:pt idx="210">
                  <c:v>24554</c:v>
                </c:pt>
                <c:pt idx="211">
                  <c:v>24692</c:v>
                </c:pt>
                <c:pt idx="212">
                  <c:v>24832</c:v>
                </c:pt>
                <c:pt idx="213">
                  <c:v>24975</c:v>
                </c:pt>
                <c:pt idx="214">
                  <c:v>25127</c:v>
                </c:pt>
                <c:pt idx="215">
                  <c:v>25269</c:v>
                </c:pt>
                <c:pt idx="216">
                  <c:v>25409</c:v>
                </c:pt>
                <c:pt idx="217">
                  <c:v>25553</c:v>
                </c:pt>
                <c:pt idx="218">
                  <c:v>25692</c:v>
                </c:pt>
                <c:pt idx="219">
                  <c:v>25841</c:v>
                </c:pt>
                <c:pt idx="220">
                  <c:v>26000</c:v>
                </c:pt>
                <c:pt idx="221">
                  <c:v>26144</c:v>
                </c:pt>
                <c:pt idx="222">
                  <c:v>26291</c:v>
                </c:pt>
                <c:pt idx="223">
                  <c:v>26434</c:v>
                </c:pt>
                <c:pt idx="224">
                  <c:v>26586</c:v>
                </c:pt>
                <c:pt idx="225">
                  <c:v>26733</c:v>
                </c:pt>
                <c:pt idx="226">
                  <c:v>26874</c:v>
                </c:pt>
                <c:pt idx="227">
                  <c:v>27012</c:v>
                </c:pt>
                <c:pt idx="228">
                  <c:v>27156</c:v>
                </c:pt>
                <c:pt idx="229">
                  <c:v>27295</c:v>
                </c:pt>
                <c:pt idx="230">
                  <c:v>27445</c:v>
                </c:pt>
                <c:pt idx="231">
                  <c:v>27599</c:v>
                </c:pt>
                <c:pt idx="232">
                  <c:v>27751</c:v>
                </c:pt>
                <c:pt idx="233">
                  <c:v>27901</c:v>
                </c:pt>
                <c:pt idx="234">
                  <c:v>28053</c:v>
                </c:pt>
                <c:pt idx="235">
                  <c:v>28209</c:v>
                </c:pt>
                <c:pt idx="236">
                  <c:v>28361</c:v>
                </c:pt>
                <c:pt idx="237">
                  <c:v>28512</c:v>
                </c:pt>
                <c:pt idx="238">
                  <c:v>28672</c:v>
                </c:pt>
                <c:pt idx="239">
                  <c:v>28834</c:v>
                </c:pt>
                <c:pt idx="240">
                  <c:v>28987</c:v>
                </c:pt>
                <c:pt idx="241">
                  <c:v>29143</c:v>
                </c:pt>
                <c:pt idx="242">
                  <c:v>29307</c:v>
                </c:pt>
                <c:pt idx="243">
                  <c:v>29476</c:v>
                </c:pt>
                <c:pt idx="244">
                  <c:v>29636</c:v>
                </c:pt>
                <c:pt idx="245">
                  <c:v>29793</c:v>
                </c:pt>
                <c:pt idx="246">
                  <c:v>29947</c:v>
                </c:pt>
                <c:pt idx="247">
                  <c:v>30101</c:v>
                </c:pt>
                <c:pt idx="248">
                  <c:v>30260</c:v>
                </c:pt>
                <c:pt idx="249">
                  <c:v>30411</c:v>
                </c:pt>
                <c:pt idx="250">
                  <c:v>30565</c:v>
                </c:pt>
                <c:pt idx="251">
                  <c:v>30726</c:v>
                </c:pt>
                <c:pt idx="252">
                  <c:v>30891</c:v>
                </c:pt>
                <c:pt idx="253">
                  <c:v>31044</c:v>
                </c:pt>
                <c:pt idx="254">
                  <c:v>31201</c:v>
                </c:pt>
                <c:pt idx="255">
                  <c:v>31360</c:v>
                </c:pt>
                <c:pt idx="256">
                  <c:v>31501</c:v>
                </c:pt>
                <c:pt idx="257">
                  <c:v>31643</c:v>
                </c:pt>
                <c:pt idx="258">
                  <c:v>31796</c:v>
                </c:pt>
                <c:pt idx="259">
                  <c:v>31946</c:v>
                </c:pt>
                <c:pt idx="260">
                  <c:v>32100</c:v>
                </c:pt>
                <c:pt idx="261">
                  <c:v>32260</c:v>
                </c:pt>
                <c:pt idx="262">
                  <c:v>32422</c:v>
                </c:pt>
                <c:pt idx="263">
                  <c:v>32588</c:v>
                </c:pt>
                <c:pt idx="264">
                  <c:v>32755</c:v>
                </c:pt>
                <c:pt idx="265">
                  <c:v>32906</c:v>
                </c:pt>
                <c:pt idx="266">
                  <c:v>33054</c:v>
                </c:pt>
                <c:pt idx="267">
                  <c:v>33201</c:v>
                </c:pt>
                <c:pt idx="268">
                  <c:v>33355</c:v>
                </c:pt>
                <c:pt idx="269">
                  <c:v>33509</c:v>
                </c:pt>
                <c:pt idx="270">
                  <c:v>33653</c:v>
                </c:pt>
                <c:pt idx="271">
                  <c:v>33802</c:v>
                </c:pt>
                <c:pt idx="272">
                  <c:v>33946</c:v>
                </c:pt>
                <c:pt idx="273">
                  <c:v>34093</c:v>
                </c:pt>
                <c:pt idx="274">
                  <c:v>34237</c:v>
                </c:pt>
                <c:pt idx="275">
                  <c:v>34373</c:v>
                </c:pt>
                <c:pt idx="276">
                  <c:v>34528</c:v>
                </c:pt>
                <c:pt idx="277">
                  <c:v>34676</c:v>
                </c:pt>
                <c:pt idx="278">
                  <c:v>34818</c:v>
                </c:pt>
                <c:pt idx="279">
                  <c:v>34958</c:v>
                </c:pt>
                <c:pt idx="280">
                  <c:v>35094</c:v>
                </c:pt>
                <c:pt idx="281">
                  <c:v>35233</c:v>
                </c:pt>
                <c:pt idx="282">
                  <c:v>35358</c:v>
                </c:pt>
                <c:pt idx="283">
                  <c:v>35481</c:v>
                </c:pt>
                <c:pt idx="284">
                  <c:v>35611</c:v>
                </c:pt>
                <c:pt idx="285">
                  <c:v>35742</c:v>
                </c:pt>
                <c:pt idx="286">
                  <c:v>35872</c:v>
                </c:pt>
                <c:pt idx="287">
                  <c:v>36012</c:v>
                </c:pt>
                <c:pt idx="288">
                  <c:v>36166</c:v>
                </c:pt>
                <c:pt idx="289">
                  <c:v>36314</c:v>
                </c:pt>
                <c:pt idx="290">
                  <c:v>36439</c:v>
                </c:pt>
                <c:pt idx="291">
                  <c:v>36569</c:v>
                </c:pt>
                <c:pt idx="292">
                  <c:v>36697</c:v>
                </c:pt>
                <c:pt idx="293">
                  <c:v>36827</c:v>
                </c:pt>
                <c:pt idx="294">
                  <c:v>36954</c:v>
                </c:pt>
                <c:pt idx="295">
                  <c:v>37085</c:v>
                </c:pt>
                <c:pt idx="296">
                  <c:v>37225</c:v>
                </c:pt>
                <c:pt idx="297">
                  <c:v>37348</c:v>
                </c:pt>
                <c:pt idx="298">
                  <c:v>37466</c:v>
                </c:pt>
                <c:pt idx="299">
                  <c:v>37578</c:v>
                </c:pt>
              </c:numCache>
            </c:numRef>
          </c:xVal>
          <c:yVal>
            <c:numRef>
              <c:f>'Flight data'!$B$2:$B$301</c:f>
              <c:numCache>
                <c:formatCode>0.0</c:formatCode>
                <c:ptCount val="300"/>
                <c:pt idx="0">
                  <c:v>31.48333333</c:v>
                </c:pt>
                <c:pt idx="1">
                  <c:v>30.6</c:v>
                </c:pt>
                <c:pt idx="2">
                  <c:v>31.6666666666667</c:v>
                </c:pt>
                <c:pt idx="3">
                  <c:v>30.7</c:v>
                </c:pt>
                <c:pt idx="4">
                  <c:v>29.9333333333333</c:v>
                </c:pt>
                <c:pt idx="5">
                  <c:v>27.9666666666667</c:v>
                </c:pt>
                <c:pt idx="6">
                  <c:v>26.6166666666667</c:v>
                </c:pt>
                <c:pt idx="7">
                  <c:v>25.65</c:v>
                </c:pt>
                <c:pt idx="8">
                  <c:v>24.5666666666667</c:v>
                </c:pt>
                <c:pt idx="9">
                  <c:v>23.5333333333333</c:v>
                </c:pt>
                <c:pt idx="10">
                  <c:v>22.7666666666667</c:v>
                </c:pt>
                <c:pt idx="11">
                  <c:v>22.1666666666667</c:v>
                </c:pt>
                <c:pt idx="12">
                  <c:v>21.7833333333333</c:v>
                </c:pt>
                <c:pt idx="13">
                  <c:v>21.7</c:v>
                </c:pt>
                <c:pt idx="14">
                  <c:v>21.3333333333333</c:v>
                </c:pt>
                <c:pt idx="15">
                  <c:v>21.2666666666667</c:v>
                </c:pt>
                <c:pt idx="16">
                  <c:v>21.0333333333333</c:v>
                </c:pt>
                <c:pt idx="17">
                  <c:v>20.75</c:v>
                </c:pt>
                <c:pt idx="18">
                  <c:v>20.4</c:v>
                </c:pt>
                <c:pt idx="19">
                  <c:v>20.0833333333333</c:v>
                </c:pt>
                <c:pt idx="20">
                  <c:v>19.8833333333333</c:v>
                </c:pt>
                <c:pt idx="21">
                  <c:v>19.4333333333333</c:v>
                </c:pt>
                <c:pt idx="22">
                  <c:v>18.8166666666667</c:v>
                </c:pt>
                <c:pt idx="23">
                  <c:v>18.3666666666667</c:v>
                </c:pt>
                <c:pt idx="24">
                  <c:v>17.9666666666667</c:v>
                </c:pt>
                <c:pt idx="25">
                  <c:v>17.6666666666667</c:v>
                </c:pt>
                <c:pt idx="26">
                  <c:v>17.4333333333333</c:v>
                </c:pt>
                <c:pt idx="27">
                  <c:v>16.9666666666667</c:v>
                </c:pt>
                <c:pt idx="28">
                  <c:v>16.2833333333333</c:v>
                </c:pt>
                <c:pt idx="29">
                  <c:v>15.9833333333333</c:v>
                </c:pt>
                <c:pt idx="30">
                  <c:v>15.7</c:v>
                </c:pt>
                <c:pt idx="31">
                  <c:v>15.25</c:v>
                </c:pt>
                <c:pt idx="32">
                  <c:v>14.6833333333333</c:v>
                </c:pt>
                <c:pt idx="33">
                  <c:v>13.9333333333333</c:v>
                </c:pt>
                <c:pt idx="34">
                  <c:v>13.5666666666667</c:v>
                </c:pt>
                <c:pt idx="35">
                  <c:v>13.1833333333333</c:v>
                </c:pt>
                <c:pt idx="36">
                  <c:v>12.7166666666667</c:v>
                </c:pt>
                <c:pt idx="37">
                  <c:v>12.1333333333333</c:v>
                </c:pt>
                <c:pt idx="38">
                  <c:v>11.6</c:v>
                </c:pt>
                <c:pt idx="39">
                  <c:v>11.15</c:v>
                </c:pt>
                <c:pt idx="40">
                  <c:v>10.45</c:v>
                </c:pt>
                <c:pt idx="41">
                  <c:v>9.56666666666667</c:v>
                </c:pt>
                <c:pt idx="42">
                  <c:v>8.91666666666667</c:v>
                </c:pt>
                <c:pt idx="43">
                  <c:v>8.68333333333333</c:v>
                </c:pt>
                <c:pt idx="44">
                  <c:v>8.03333333333333</c:v>
                </c:pt>
                <c:pt idx="45">
                  <c:v>7.65</c:v>
                </c:pt>
                <c:pt idx="46">
                  <c:v>7.58333333333333</c:v>
                </c:pt>
                <c:pt idx="47">
                  <c:v>7.25</c:v>
                </c:pt>
                <c:pt idx="48">
                  <c:v>6.66666666666667</c:v>
                </c:pt>
                <c:pt idx="49">
                  <c:v>6.11666666666667</c:v>
                </c:pt>
                <c:pt idx="50">
                  <c:v>5.48333333333333</c:v>
                </c:pt>
                <c:pt idx="51">
                  <c:v>4.71666666666667</c:v>
                </c:pt>
                <c:pt idx="52">
                  <c:v>4.03333333333333</c:v>
                </c:pt>
                <c:pt idx="53">
                  <c:v>3.23333333333333</c:v>
                </c:pt>
                <c:pt idx="54">
                  <c:v>3.36666666666667</c:v>
                </c:pt>
                <c:pt idx="55">
                  <c:v>3.05</c:v>
                </c:pt>
                <c:pt idx="56">
                  <c:v>2.45</c:v>
                </c:pt>
                <c:pt idx="57">
                  <c:v>1.73333333333333</c:v>
                </c:pt>
                <c:pt idx="58">
                  <c:v>1.21666666666667</c:v>
                </c:pt>
                <c:pt idx="59">
                  <c:v>0.566666666666667</c:v>
                </c:pt>
                <c:pt idx="60">
                  <c:v>-0.116666666666667</c:v>
                </c:pt>
                <c:pt idx="61">
                  <c:v>-0.4</c:v>
                </c:pt>
                <c:pt idx="62">
                  <c:v>-0.533333333333333</c:v>
                </c:pt>
                <c:pt idx="63">
                  <c:v>-1.25</c:v>
                </c:pt>
                <c:pt idx="64">
                  <c:v>-2</c:v>
                </c:pt>
                <c:pt idx="65">
                  <c:v>-2.56666666666667</c:v>
                </c:pt>
                <c:pt idx="66">
                  <c:v>-3.26666666666667</c:v>
                </c:pt>
                <c:pt idx="67">
                  <c:v>-3.95</c:v>
                </c:pt>
                <c:pt idx="68">
                  <c:v>-4.7</c:v>
                </c:pt>
                <c:pt idx="69">
                  <c:v>-5.38333333333333</c:v>
                </c:pt>
                <c:pt idx="70">
                  <c:v>-6</c:v>
                </c:pt>
                <c:pt idx="71">
                  <c:v>-6.43333333333333</c:v>
                </c:pt>
                <c:pt idx="72">
                  <c:v>-7.05</c:v>
                </c:pt>
                <c:pt idx="73">
                  <c:v>-7.76666666666667</c:v>
                </c:pt>
                <c:pt idx="74">
                  <c:v>-8.68333333333333</c:v>
                </c:pt>
                <c:pt idx="75">
                  <c:v>-9.2</c:v>
                </c:pt>
                <c:pt idx="76">
                  <c:v>-9.71666666666667</c:v>
                </c:pt>
                <c:pt idx="77">
                  <c:v>-10.15</c:v>
                </c:pt>
                <c:pt idx="78">
                  <c:v>-10.9</c:v>
                </c:pt>
                <c:pt idx="79">
                  <c:v>-11.9833333333333</c:v>
                </c:pt>
                <c:pt idx="80">
                  <c:v>-12.7666666666667</c:v>
                </c:pt>
                <c:pt idx="81">
                  <c:v>-13.05</c:v>
                </c:pt>
                <c:pt idx="82">
                  <c:v>-13.5</c:v>
                </c:pt>
                <c:pt idx="83">
                  <c:v>-14.1833333333333</c:v>
                </c:pt>
                <c:pt idx="84">
                  <c:v>-15.15</c:v>
                </c:pt>
                <c:pt idx="85">
                  <c:v>-16.1333333333333</c:v>
                </c:pt>
                <c:pt idx="86">
                  <c:v>-16.7666666666667</c:v>
                </c:pt>
                <c:pt idx="87">
                  <c:v>-17.2</c:v>
                </c:pt>
                <c:pt idx="88">
                  <c:v>-18</c:v>
                </c:pt>
                <c:pt idx="89">
                  <c:v>-19</c:v>
                </c:pt>
                <c:pt idx="90">
                  <c:v>-19.3833333333333</c:v>
                </c:pt>
                <c:pt idx="91">
                  <c:v>-19.7666666666667</c:v>
                </c:pt>
                <c:pt idx="92">
                  <c:v>-20.5333333333333</c:v>
                </c:pt>
                <c:pt idx="93">
                  <c:v>-21.15</c:v>
                </c:pt>
                <c:pt idx="94">
                  <c:v>-21.6666666666667</c:v>
                </c:pt>
                <c:pt idx="95">
                  <c:v>-22.5</c:v>
                </c:pt>
                <c:pt idx="96">
                  <c:v>-23.05</c:v>
                </c:pt>
                <c:pt idx="97">
                  <c:v>-23.4833333333333</c:v>
                </c:pt>
                <c:pt idx="98">
                  <c:v>-24.3166666666667</c:v>
                </c:pt>
                <c:pt idx="99">
                  <c:v>-24.9666666666667</c:v>
                </c:pt>
                <c:pt idx="100">
                  <c:v>-25.3833333333333</c:v>
                </c:pt>
                <c:pt idx="101">
                  <c:v>-25.7166666666667</c:v>
                </c:pt>
                <c:pt idx="102">
                  <c:v>-26.35</c:v>
                </c:pt>
                <c:pt idx="103">
                  <c:v>-27.3666666666667</c:v>
                </c:pt>
                <c:pt idx="104">
                  <c:v>-28.3</c:v>
                </c:pt>
                <c:pt idx="105">
                  <c:v>-29.0166666666667</c:v>
                </c:pt>
                <c:pt idx="106">
                  <c:v>-29.7333333333333</c:v>
                </c:pt>
                <c:pt idx="107">
                  <c:v>-30.6</c:v>
                </c:pt>
                <c:pt idx="108">
                  <c:v>-31.1833333333333</c:v>
                </c:pt>
                <c:pt idx="109">
                  <c:v>-32.05</c:v>
                </c:pt>
                <c:pt idx="110">
                  <c:v>-33.0333333333333</c:v>
                </c:pt>
                <c:pt idx="111">
                  <c:v>-33.3833333333333</c:v>
                </c:pt>
                <c:pt idx="112">
                  <c:v>-33.6333333333333</c:v>
                </c:pt>
                <c:pt idx="113">
                  <c:v>-33.9333333333333</c:v>
                </c:pt>
                <c:pt idx="114">
                  <c:v>-34.1166666666667</c:v>
                </c:pt>
                <c:pt idx="115">
                  <c:v>-34.55</c:v>
                </c:pt>
                <c:pt idx="116">
                  <c:v>-35.05</c:v>
                </c:pt>
                <c:pt idx="117">
                  <c:v>-35.4833333333333</c:v>
                </c:pt>
                <c:pt idx="118">
                  <c:v>-36.2333333333333</c:v>
                </c:pt>
                <c:pt idx="119">
                  <c:v>-37.05</c:v>
                </c:pt>
                <c:pt idx="120">
                  <c:v>-37.2333333333333</c:v>
                </c:pt>
                <c:pt idx="121">
                  <c:v>-37.5</c:v>
                </c:pt>
                <c:pt idx="122">
                  <c:v>-38.0666666666667</c:v>
                </c:pt>
                <c:pt idx="123">
                  <c:v>-38.45</c:v>
                </c:pt>
                <c:pt idx="124">
                  <c:v>-39.0666666666667</c:v>
                </c:pt>
                <c:pt idx="125">
                  <c:v>-39.2</c:v>
                </c:pt>
                <c:pt idx="126">
                  <c:v>-39.3833333333333</c:v>
                </c:pt>
                <c:pt idx="127">
                  <c:v>-39.6833333333333</c:v>
                </c:pt>
                <c:pt idx="128">
                  <c:v>-39.8166666666667</c:v>
                </c:pt>
                <c:pt idx="129">
                  <c:v>-40.2833333333333</c:v>
                </c:pt>
                <c:pt idx="130">
                  <c:v>-40.8</c:v>
                </c:pt>
                <c:pt idx="131">
                  <c:v>-40.7666666666667</c:v>
                </c:pt>
                <c:pt idx="132">
                  <c:v>-40.5166666666667</c:v>
                </c:pt>
                <c:pt idx="133">
                  <c:v>-40.7</c:v>
                </c:pt>
                <c:pt idx="134">
                  <c:v>-40.45</c:v>
                </c:pt>
                <c:pt idx="135">
                  <c:v>-40.0833333333333</c:v>
                </c:pt>
                <c:pt idx="136">
                  <c:v>-40.05</c:v>
                </c:pt>
                <c:pt idx="137">
                  <c:v>-39.9666666666667</c:v>
                </c:pt>
                <c:pt idx="138">
                  <c:v>-39.7166666666667</c:v>
                </c:pt>
                <c:pt idx="139">
                  <c:v>-39.3833333333333</c:v>
                </c:pt>
                <c:pt idx="140">
                  <c:v>-39.1833333333333</c:v>
                </c:pt>
                <c:pt idx="141">
                  <c:v>-39.4</c:v>
                </c:pt>
                <c:pt idx="142">
                  <c:v>-39.8333333333333</c:v>
                </c:pt>
                <c:pt idx="143">
                  <c:v>-39.3166666666667</c:v>
                </c:pt>
                <c:pt idx="144">
                  <c:v>-38.3</c:v>
                </c:pt>
                <c:pt idx="145">
                  <c:v>-38.45</c:v>
                </c:pt>
                <c:pt idx="146">
                  <c:v>-38.4166666666667</c:v>
                </c:pt>
                <c:pt idx="147">
                  <c:v>-38.0833333333333</c:v>
                </c:pt>
                <c:pt idx="148">
                  <c:v>-37.9666666666667</c:v>
                </c:pt>
                <c:pt idx="149">
                  <c:v>-38.2666666666667</c:v>
                </c:pt>
                <c:pt idx="150">
                  <c:v>-38.4333333333333</c:v>
                </c:pt>
                <c:pt idx="151">
                  <c:v>-38.0666666666667</c:v>
                </c:pt>
                <c:pt idx="152">
                  <c:v>-37.8</c:v>
                </c:pt>
                <c:pt idx="153">
                  <c:v>-37.5166666666667</c:v>
                </c:pt>
                <c:pt idx="154">
                  <c:v>-37.45</c:v>
                </c:pt>
                <c:pt idx="155">
                  <c:v>-37.45</c:v>
                </c:pt>
                <c:pt idx="156">
                  <c:v>-37.35</c:v>
                </c:pt>
                <c:pt idx="157">
                  <c:v>-37.4333333333333</c:v>
                </c:pt>
                <c:pt idx="158">
                  <c:v>-37.4666666666667</c:v>
                </c:pt>
                <c:pt idx="159">
                  <c:v>-37.1166666666667</c:v>
                </c:pt>
                <c:pt idx="160">
                  <c:v>-36.8333333333333</c:v>
                </c:pt>
                <c:pt idx="161">
                  <c:v>-36.6666666666667</c:v>
                </c:pt>
                <c:pt idx="162">
                  <c:v>-36.6</c:v>
                </c:pt>
                <c:pt idx="163">
                  <c:v>-36.65</c:v>
                </c:pt>
                <c:pt idx="164">
                  <c:v>-36.3333333333333</c:v>
                </c:pt>
                <c:pt idx="165">
                  <c:v>-36.0166666666667</c:v>
                </c:pt>
                <c:pt idx="166">
                  <c:v>-35.8</c:v>
                </c:pt>
                <c:pt idx="167">
                  <c:v>-35.5333333333333</c:v>
                </c:pt>
                <c:pt idx="168">
                  <c:v>-35.4333333333333</c:v>
                </c:pt>
                <c:pt idx="169">
                  <c:v>-35.45</c:v>
                </c:pt>
                <c:pt idx="170">
                  <c:v>-35.35</c:v>
                </c:pt>
                <c:pt idx="171">
                  <c:v>-35.7</c:v>
                </c:pt>
                <c:pt idx="172">
                  <c:v>-35.45</c:v>
                </c:pt>
                <c:pt idx="173">
                  <c:v>-35.2333333333333</c:v>
                </c:pt>
                <c:pt idx="174">
                  <c:v>-35.2333333333333</c:v>
                </c:pt>
                <c:pt idx="175">
                  <c:v>-35.55</c:v>
                </c:pt>
                <c:pt idx="176">
                  <c:v>-34.9166666666667</c:v>
                </c:pt>
                <c:pt idx="177">
                  <c:v>-34.65</c:v>
                </c:pt>
                <c:pt idx="178">
                  <c:v>-34.55</c:v>
                </c:pt>
                <c:pt idx="179">
                  <c:v>-34.3166666666667</c:v>
                </c:pt>
                <c:pt idx="180">
                  <c:v>-34.2333333333333</c:v>
                </c:pt>
                <c:pt idx="181">
                  <c:v>-34.15</c:v>
                </c:pt>
                <c:pt idx="182">
                  <c:v>-34</c:v>
                </c:pt>
                <c:pt idx="183">
                  <c:v>-33.8666666666667</c:v>
                </c:pt>
                <c:pt idx="184">
                  <c:v>-33.65</c:v>
                </c:pt>
                <c:pt idx="185">
                  <c:v>-33.3</c:v>
                </c:pt>
                <c:pt idx="186">
                  <c:v>-33.05</c:v>
                </c:pt>
                <c:pt idx="187">
                  <c:v>-32.8</c:v>
                </c:pt>
                <c:pt idx="188">
                  <c:v>-33.1333333333333</c:v>
                </c:pt>
                <c:pt idx="189">
                  <c:v>-32.95</c:v>
                </c:pt>
                <c:pt idx="190">
                  <c:v>-33.05</c:v>
                </c:pt>
                <c:pt idx="191">
                  <c:v>-33.2</c:v>
                </c:pt>
                <c:pt idx="192">
                  <c:v>-33.4666666666667</c:v>
                </c:pt>
                <c:pt idx="193">
                  <c:v>-33.75</c:v>
                </c:pt>
                <c:pt idx="194">
                  <c:v>-33.4166666666667</c:v>
                </c:pt>
                <c:pt idx="195">
                  <c:v>-32.9833333333333</c:v>
                </c:pt>
                <c:pt idx="196">
                  <c:v>-32.4</c:v>
                </c:pt>
                <c:pt idx="197">
                  <c:v>-32.0166666666667</c:v>
                </c:pt>
                <c:pt idx="198">
                  <c:v>-31.7</c:v>
                </c:pt>
                <c:pt idx="199">
                  <c:v>-30.9666666666667</c:v>
                </c:pt>
                <c:pt idx="200">
                  <c:v>-30.6333333333333</c:v>
                </c:pt>
                <c:pt idx="201">
                  <c:v>-30.6166666666667</c:v>
                </c:pt>
                <c:pt idx="202">
                  <c:v>-30.5833333333333</c:v>
                </c:pt>
                <c:pt idx="203">
                  <c:v>-30.3166666666667</c:v>
                </c:pt>
                <c:pt idx="204">
                  <c:v>-30.3666666666667</c:v>
                </c:pt>
                <c:pt idx="205">
                  <c:v>-30.3333333333333</c:v>
                </c:pt>
                <c:pt idx="206">
                  <c:v>-29.9333333333333</c:v>
                </c:pt>
                <c:pt idx="207">
                  <c:v>-29.6666666666667</c:v>
                </c:pt>
                <c:pt idx="208">
                  <c:v>-29.6166666666667</c:v>
                </c:pt>
                <c:pt idx="209">
                  <c:v>-29.2166666666667</c:v>
                </c:pt>
                <c:pt idx="210">
                  <c:v>-28.95</c:v>
                </c:pt>
                <c:pt idx="211">
                  <c:v>-28.4666666666667</c:v>
                </c:pt>
                <c:pt idx="212">
                  <c:v>-28.3333333333333</c:v>
                </c:pt>
                <c:pt idx="213">
                  <c:v>-28.15</c:v>
                </c:pt>
                <c:pt idx="214">
                  <c:v>-27.85</c:v>
                </c:pt>
                <c:pt idx="215">
                  <c:v>-27.75</c:v>
                </c:pt>
                <c:pt idx="216">
                  <c:v>-27.75</c:v>
                </c:pt>
                <c:pt idx="217">
                  <c:v>-27.7</c:v>
                </c:pt>
                <c:pt idx="218">
                  <c:v>-27.2833333333333</c:v>
                </c:pt>
                <c:pt idx="219">
                  <c:v>-26.8666666666667</c:v>
                </c:pt>
                <c:pt idx="220">
                  <c:v>-26.7333333333333</c:v>
                </c:pt>
                <c:pt idx="221">
                  <c:v>-26.85</c:v>
                </c:pt>
                <c:pt idx="222">
                  <c:v>-26.3</c:v>
                </c:pt>
                <c:pt idx="223">
                  <c:v>-25.85</c:v>
                </c:pt>
                <c:pt idx="224">
                  <c:v>-25.6666666666667</c:v>
                </c:pt>
                <c:pt idx="225">
                  <c:v>-25.45</c:v>
                </c:pt>
                <c:pt idx="226">
                  <c:v>-25.15</c:v>
                </c:pt>
                <c:pt idx="227">
                  <c:v>-24.9666666666667</c:v>
                </c:pt>
                <c:pt idx="228">
                  <c:v>-24.6166666666667</c:v>
                </c:pt>
                <c:pt idx="229">
                  <c:v>-23.7333333333333</c:v>
                </c:pt>
                <c:pt idx="230">
                  <c:v>-23.3333333333333</c:v>
                </c:pt>
                <c:pt idx="231">
                  <c:v>-22.9666666666667</c:v>
                </c:pt>
                <c:pt idx="232">
                  <c:v>-23.35</c:v>
                </c:pt>
                <c:pt idx="233">
                  <c:v>-23.4833333333333</c:v>
                </c:pt>
                <c:pt idx="234">
                  <c:v>-23.2</c:v>
                </c:pt>
                <c:pt idx="235">
                  <c:v>-22.6333333333333</c:v>
                </c:pt>
                <c:pt idx="236">
                  <c:v>-22.8333333333333</c:v>
                </c:pt>
                <c:pt idx="237">
                  <c:v>-22.6166666666667</c:v>
                </c:pt>
                <c:pt idx="238">
                  <c:v>-22.3333333333333</c:v>
                </c:pt>
                <c:pt idx="239">
                  <c:v>-22.4166666666667</c:v>
                </c:pt>
                <c:pt idx="240">
                  <c:v>-22.3833333333333</c:v>
                </c:pt>
                <c:pt idx="241">
                  <c:v>-22.15</c:v>
                </c:pt>
                <c:pt idx="242">
                  <c:v>-22.2833333333333</c:v>
                </c:pt>
                <c:pt idx="243">
                  <c:v>-22</c:v>
                </c:pt>
                <c:pt idx="244">
                  <c:v>-21.65</c:v>
                </c:pt>
                <c:pt idx="245">
                  <c:v>-21.6166666666667</c:v>
                </c:pt>
                <c:pt idx="246">
                  <c:v>-22</c:v>
                </c:pt>
                <c:pt idx="247">
                  <c:v>-21.3</c:v>
                </c:pt>
                <c:pt idx="248">
                  <c:v>-20.8166666666667</c:v>
                </c:pt>
                <c:pt idx="249">
                  <c:v>-20.6</c:v>
                </c:pt>
                <c:pt idx="250">
                  <c:v>-19.8833333333333</c:v>
                </c:pt>
                <c:pt idx="251">
                  <c:v>-19.0166666666667</c:v>
                </c:pt>
                <c:pt idx="252">
                  <c:v>-18.9666666666667</c:v>
                </c:pt>
                <c:pt idx="253">
                  <c:v>-18.7333333333333</c:v>
                </c:pt>
                <c:pt idx="254">
                  <c:v>-18.0666666666667</c:v>
                </c:pt>
                <c:pt idx="255">
                  <c:v>-17.95</c:v>
                </c:pt>
                <c:pt idx="256">
                  <c:v>-18.3</c:v>
                </c:pt>
                <c:pt idx="257">
                  <c:v>-18</c:v>
                </c:pt>
                <c:pt idx="258">
                  <c:v>-17.7166666666667</c:v>
                </c:pt>
                <c:pt idx="259">
                  <c:v>-17.6166666666667</c:v>
                </c:pt>
                <c:pt idx="260">
                  <c:v>-16.95</c:v>
                </c:pt>
                <c:pt idx="261">
                  <c:v>-16.4666666666667</c:v>
                </c:pt>
                <c:pt idx="262">
                  <c:v>-15.9333333333333</c:v>
                </c:pt>
                <c:pt idx="263">
                  <c:v>-15.65</c:v>
                </c:pt>
                <c:pt idx="264">
                  <c:v>-15.7</c:v>
                </c:pt>
                <c:pt idx="265">
                  <c:v>-15.5833333333333</c:v>
                </c:pt>
                <c:pt idx="266">
                  <c:v>-15.5166666666667</c:v>
                </c:pt>
                <c:pt idx="267">
                  <c:v>-15.8666666666667</c:v>
                </c:pt>
                <c:pt idx="268">
                  <c:v>-16.65</c:v>
                </c:pt>
                <c:pt idx="269">
                  <c:v>-16.9166666666667</c:v>
                </c:pt>
                <c:pt idx="270">
                  <c:v>-17.2666666666667</c:v>
                </c:pt>
                <c:pt idx="271">
                  <c:v>-17.1666666666667</c:v>
                </c:pt>
                <c:pt idx="272">
                  <c:v>-17.2166666666667</c:v>
                </c:pt>
                <c:pt idx="273">
                  <c:v>-17.1666666666667</c:v>
                </c:pt>
                <c:pt idx="274">
                  <c:v>-15.9333333333333</c:v>
                </c:pt>
                <c:pt idx="275">
                  <c:v>-14.9333333333333</c:v>
                </c:pt>
                <c:pt idx="276">
                  <c:v>-14.1833333333333</c:v>
                </c:pt>
                <c:pt idx="277">
                  <c:v>-13.9666666666667</c:v>
                </c:pt>
                <c:pt idx="278">
                  <c:v>-12.6166666666667</c:v>
                </c:pt>
                <c:pt idx="279">
                  <c:v>-11.15</c:v>
                </c:pt>
                <c:pt idx="280">
                  <c:v>-10.4666666666667</c:v>
                </c:pt>
                <c:pt idx="281">
                  <c:v>-9.96666666666667</c:v>
                </c:pt>
                <c:pt idx="282">
                  <c:v>-10.0166666666667</c:v>
                </c:pt>
                <c:pt idx="283">
                  <c:v>-10.1666666666667</c:v>
                </c:pt>
                <c:pt idx="284">
                  <c:v>-10.5666666666667</c:v>
                </c:pt>
                <c:pt idx="285">
                  <c:v>-10.75</c:v>
                </c:pt>
                <c:pt idx="286">
                  <c:v>-11.6166666666667</c:v>
                </c:pt>
                <c:pt idx="287">
                  <c:v>-11.5166666666667</c:v>
                </c:pt>
                <c:pt idx="288">
                  <c:v>-11.5833333333333</c:v>
                </c:pt>
                <c:pt idx="289">
                  <c:v>-11.7666666666667</c:v>
                </c:pt>
                <c:pt idx="290">
                  <c:v>-11.2833333333333</c:v>
                </c:pt>
                <c:pt idx="291">
                  <c:v>-10.75</c:v>
                </c:pt>
                <c:pt idx="292">
                  <c:v>-10.0833333333333</c:v>
                </c:pt>
                <c:pt idx="293">
                  <c:v>-11.0166666666667</c:v>
                </c:pt>
                <c:pt idx="294">
                  <c:v>-10.9666666666667</c:v>
                </c:pt>
                <c:pt idx="295">
                  <c:v>-9.66666666666667</c:v>
                </c:pt>
                <c:pt idx="296">
                  <c:v>-10.3</c:v>
                </c:pt>
                <c:pt idx="297">
                  <c:v>-9.56666666666667</c:v>
                </c:pt>
                <c:pt idx="298">
                  <c:v>-8.18333333333333</c:v>
                </c:pt>
                <c:pt idx="299">
                  <c:v>-6.43333333333333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"Inside payload temperature"</c:f>
              <c:strCache>
                <c:ptCount val="1"/>
                <c:pt idx="0">
                  <c:v>Inside payload temperature</c:v>
                </c:pt>
              </c:strCache>
            </c:strRef>
          </c:tx>
          <c:spPr>
            <a:solidFill>
              <a:srgbClr val="FF420E"/>
            </a:solidFill>
            <a:ln w="14400">
              <a:solidFill>
                <a:srgbClr val="FF420E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44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'Flight data'!$G$4:$G$300</c:f>
              <c:numCache>
                <c:formatCode>General</c:formatCode>
                <c:ptCount val="297"/>
                <c:pt idx="0">
                  <c:v>253</c:v>
                </c:pt>
                <c:pt idx="1">
                  <c:v>354</c:v>
                </c:pt>
                <c:pt idx="2">
                  <c:v>441</c:v>
                </c:pt>
                <c:pt idx="3">
                  <c:v>564</c:v>
                </c:pt>
                <c:pt idx="4">
                  <c:v>724</c:v>
                </c:pt>
                <c:pt idx="5">
                  <c:v>876</c:v>
                </c:pt>
                <c:pt idx="6">
                  <c:v>986</c:v>
                </c:pt>
                <c:pt idx="7">
                  <c:v>1093</c:v>
                </c:pt>
                <c:pt idx="8">
                  <c:v>1208</c:v>
                </c:pt>
                <c:pt idx="9">
                  <c:v>1327</c:v>
                </c:pt>
                <c:pt idx="10">
                  <c:v>1427</c:v>
                </c:pt>
                <c:pt idx="11">
                  <c:v>1531</c:v>
                </c:pt>
                <c:pt idx="12">
                  <c:v>1627</c:v>
                </c:pt>
                <c:pt idx="13">
                  <c:v>1734</c:v>
                </c:pt>
                <c:pt idx="14">
                  <c:v>1860</c:v>
                </c:pt>
                <c:pt idx="15">
                  <c:v>1986</c:v>
                </c:pt>
                <c:pt idx="16">
                  <c:v>2113</c:v>
                </c:pt>
                <c:pt idx="17">
                  <c:v>2185</c:v>
                </c:pt>
                <c:pt idx="18">
                  <c:v>2282</c:v>
                </c:pt>
                <c:pt idx="19">
                  <c:v>2398</c:v>
                </c:pt>
                <c:pt idx="20">
                  <c:v>2507</c:v>
                </c:pt>
                <c:pt idx="21">
                  <c:v>2631</c:v>
                </c:pt>
                <c:pt idx="22">
                  <c:v>2754</c:v>
                </c:pt>
                <c:pt idx="23">
                  <c:v>2894</c:v>
                </c:pt>
                <c:pt idx="24">
                  <c:v>3008</c:v>
                </c:pt>
                <c:pt idx="25">
                  <c:v>3127</c:v>
                </c:pt>
                <c:pt idx="26">
                  <c:v>3234</c:v>
                </c:pt>
                <c:pt idx="27">
                  <c:v>3356</c:v>
                </c:pt>
                <c:pt idx="28">
                  <c:v>3479</c:v>
                </c:pt>
                <c:pt idx="29">
                  <c:v>3580</c:v>
                </c:pt>
                <c:pt idx="30">
                  <c:v>3683</c:v>
                </c:pt>
                <c:pt idx="31">
                  <c:v>3780</c:v>
                </c:pt>
                <c:pt idx="32">
                  <c:v>3882</c:v>
                </c:pt>
                <c:pt idx="33">
                  <c:v>3987</c:v>
                </c:pt>
                <c:pt idx="34">
                  <c:v>4095</c:v>
                </c:pt>
                <c:pt idx="35">
                  <c:v>4198</c:v>
                </c:pt>
                <c:pt idx="36">
                  <c:v>4320</c:v>
                </c:pt>
                <c:pt idx="37">
                  <c:v>4425</c:v>
                </c:pt>
                <c:pt idx="38">
                  <c:v>4524</c:v>
                </c:pt>
                <c:pt idx="39">
                  <c:v>4623</c:v>
                </c:pt>
                <c:pt idx="40">
                  <c:v>4723</c:v>
                </c:pt>
                <c:pt idx="41">
                  <c:v>4828</c:v>
                </c:pt>
                <c:pt idx="42">
                  <c:v>4926</c:v>
                </c:pt>
                <c:pt idx="43">
                  <c:v>5029</c:v>
                </c:pt>
                <c:pt idx="44">
                  <c:v>5125</c:v>
                </c:pt>
                <c:pt idx="45">
                  <c:v>5221</c:v>
                </c:pt>
                <c:pt idx="46">
                  <c:v>5325</c:v>
                </c:pt>
                <c:pt idx="47">
                  <c:v>5431</c:v>
                </c:pt>
                <c:pt idx="48">
                  <c:v>5536</c:v>
                </c:pt>
                <c:pt idx="49">
                  <c:v>5640</c:v>
                </c:pt>
                <c:pt idx="50">
                  <c:v>5743</c:v>
                </c:pt>
                <c:pt idx="51">
                  <c:v>5845</c:v>
                </c:pt>
                <c:pt idx="52">
                  <c:v>5957</c:v>
                </c:pt>
                <c:pt idx="53">
                  <c:v>6056</c:v>
                </c:pt>
                <c:pt idx="54">
                  <c:v>6157</c:v>
                </c:pt>
                <c:pt idx="55">
                  <c:v>6256</c:v>
                </c:pt>
                <c:pt idx="56">
                  <c:v>6355</c:v>
                </c:pt>
                <c:pt idx="57">
                  <c:v>6452</c:v>
                </c:pt>
                <c:pt idx="58">
                  <c:v>6553</c:v>
                </c:pt>
                <c:pt idx="59">
                  <c:v>6658</c:v>
                </c:pt>
                <c:pt idx="60">
                  <c:v>6748</c:v>
                </c:pt>
                <c:pt idx="61">
                  <c:v>6842</c:v>
                </c:pt>
                <c:pt idx="62">
                  <c:v>6934</c:v>
                </c:pt>
                <c:pt idx="63">
                  <c:v>7031</c:v>
                </c:pt>
                <c:pt idx="64">
                  <c:v>7124</c:v>
                </c:pt>
                <c:pt idx="65">
                  <c:v>7226</c:v>
                </c:pt>
                <c:pt idx="66">
                  <c:v>7337</c:v>
                </c:pt>
                <c:pt idx="67">
                  <c:v>7441</c:v>
                </c:pt>
                <c:pt idx="68">
                  <c:v>7541</c:v>
                </c:pt>
                <c:pt idx="69">
                  <c:v>7643</c:v>
                </c:pt>
                <c:pt idx="70">
                  <c:v>7742</c:v>
                </c:pt>
                <c:pt idx="71">
                  <c:v>7841</c:v>
                </c:pt>
                <c:pt idx="72">
                  <c:v>7946</c:v>
                </c:pt>
                <c:pt idx="73">
                  <c:v>8063</c:v>
                </c:pt>
                <c:pt idx="74">
                  <c:v>8194</c:v>
                </c:pt>
                <c:pt idx="75">
                  <c:v>8311</c:v>
                </c:pt>
                <c:pt idx="76">
                  <c:v>8418</c:v>
                </c:pt>
                <c:pt idx="77">
                  <c:v>8526</c:v>
                </c:pt>
                <c:pt idx="78">
                  <c:v>8637</c:v>
                </c:pt>
                <c:pt idx="79">
                  <c:v>8741</c:v>
                </c:pt>
                <c:pt idx="80">
                  <c:v>8846</c:v>
                </c:pt>
                <c:pt idx="81">
                  <c:v>8951</c:v>
                </c:pt>
                <c:pt idx="82">
                  <c:v>9057</c:v>
                </c:pt>
                <c:pt idx="83">
                  <c:v>9174</c:v>
                </c:pt>
                <c:pt idx="84">
                  <c:v>9287</c:v>
                </c:pt>
                <c:pt idx="85">
                  <c:v>9395</c:v>
                </c:pt>
                <c:pt idx="86">
                  <c:v>9511</c:v>
                </c:pt>
                <c:pt idx="87">
                  <c:v>9626</c:v>
                </c:pt>
                <c:pt idx="88">
                  <c:v>9740</c:v>
                </c:pt>
                <c:pt idx="89">
                  <c:v>9852</c:v>
                </c:pt>
                <c:pt idx="90">
                  <c:v>9975</c:v>
                </c:pt>
                <c:pt idx="91">
                  <c:v>10109</c:v>
                </c:pt>
                <c:pt idx="92">
                  <c:v>10222</c:v>
                </c:pt>
                <c:pt idx="93">
                  <c:v>10330</c:v>
                </c:pt>
                <c:pt idx="94">
                  <c:v>10436</c:v>
                </c:pt>
                <c:pt idx="95">
                  <c:v>10539</c:v>
                </c:pt>
                <c:pt idx="96">
                  <c:v>10647</c:v>
                </c:pt>
                <c:pt idx="97">
                  <c:v>10758</c:v>
                </c:pt>
                <c:pt idx="98">
                  <c:v>10868</c:v>
                </c:pt>
                <c:pt idx="99">
                  <c:v>10982</c:v>
                </c:pt>
                <c:pt idx="100">
                  <c:v>11089</c:v>
                </c:pt>
                <c:pt idx="101">
                  <c:v>11195</c:v>
                </c:pt>
                <c:pt idx="102">
                  <c:v>11306</c:v>
                </c:pt>
                <c:pt idx="103">
                  <c:v>11411</c:v>
                </c:pt>
                <c:pt idx="104">
                  <c:v>11524</c:v>
                </c:pt>
                <c:pt idx="105">
                  <c:v>11639</c:v>
                </c:pt>
                <c:pt idx="106">
                  <c:v>11750</c:v>
                </c:pt>
                <c:pt idx="107">
                  <c:v>11861</c:v>
                </c:pt>
                <c:pt idx="108">
                  <c:v>11979</c:v>
                </c:pt>
                <c:pt idx="109">
                  <c:v>12091</c:v>
                </c:pt>
                <c:pt idx="110">
                  <c:v>12197</c:v>
                </c:pt>
                <c:pt idx="111">
                  <c:v>12309</c:v>
                </c:pt>
                <c:pt idx="112">
                  <c:v>12417</c:v>
                </c:pt>
                <c:pt idx="113">
                  <c:v>12526</c:v>
                </c:pt>
                <c:pt idx="114">
                  <c:v>12636</c:v>
                </c:pt>
                <c:pt idx="115">
                  <c:v>12747</c:v>
                </c:pt>
                <c:pt idx="116">
                  <c:v>12859</c:v>
                </c:pt>
                <c:pt idx="117">
                  <c:v>12977</c:v>
                </c:pt>
                <c:pt idx="118">
                  <c:v>13101</c:v>
                </c:pt>
                <c:pt idx="119">
                  <c:v>13242</c:v>
                </c:pt>
                <c:pt idx="120">
                  <c:v>13358</c:v>
                </c:pt>
                <c:pt idx="121">
                  <c:v>13476</c:v>
                </c:pt>
                <c:pt idx="122">
                  <c:v>13593</c:v>
                </c:pt>
                <c:pt idx="123">
                  <c:v>13703</c:v>
                </c:pt>
                <c:pt idx="124">
                  <c:v>13812</c:v>
                </c:pt>
                <c:pt idx="125">
                  <c:v>13922</c:v>
                </c:pt>
                <c:pt idx="126">
                  <c:v>14042</c:v>
                </c:pt>
                <c:pt idx="127">
                  <c:v>14163</c:v>
                </c:pt>
                <c:pt idx="128">
                  <c:v>14282</c:v>
                </c:pt>
                <c:pt idx="129">
                  <c:v>14394</c:v>
                </c:pt>
                <c:pt idx="130">
                  <c:v>14508</c:v>
                </c:pt>
                <c:pt idx="131">
                  <c:v>14618</c:v>
                </c:pt>
                <c:pt idx="132">
                  <c:v>14728</c:v>
                </c:pt>
                <c:pt idx="133">
                  <c:v>14843</c:v>
                </c:pt>
                <c:pt idx="134">
                  <c:v>14966</c:v>
                </c:pt>
                <c:pt idx="135">
                  <c:v>15090</c:v>
                </c:pt>
                <c:pt idx="136">
                  <c:v>15206</c:v>
                </c:pt>
                <c:pt idx="137">
                  <c:v>15319</c:v>
                </c:pt>
                <c:pt idx="138">
                  <c:v>15436</c:v>
                </c:pt>
                <c:pt idx="139">
                  <c:v>15543</c:v>
                </c:pt>
                <c:pt idx="140">
                  <c:v>15658</c:v>
                </c:pt>
                <c:pt idx="141">
                  <c:v>15767</c:v>
                </c:pt>
                <c:pt idx="142">
                  <c:v>15885</c:v>
                </c:pt>
                <c:pt idx="143">
                  <c:v>16004</c:v>
                </c:pt>
                <c:pt idx="144">
                  <c:v>16120</c:v>
                </c:pt>
                <c:pt idx="145">
                  <c:v>16242</c:v>
                </c:pt>
                <c:pt idx="146">
                  <c:v>16363</c:v>
                </c:pt>
                <c:pt idx="147">
                  <c:v>16487</c:v>
                </c:pt>
                <c:pt idx="148">
                  <c:v>16620</c:v>
                </c:pt>
                <c:pt idx="149">
                  <c:v>16749</c:v>
                </c:pt>
                <c:pt idx="150">
                  <c:v>16867</c:v>
                </c:pt>
                <c:pt idx="151">
                  <c:v>16984</c:v>
                </c:pt>
                <c:pt idx="152">
                  <c:v>17107</c:v>
                </c:pt>
                <c:pt idx="153">
                  <c:v>17226</c:v>
                </c:pt>
                <c:pt idx="154">
                  <c:v>17354</c:v>
                </c:pt>
                <c:pt idx="155">
                  <c:v>17487</c:v>
                </c:pt>
                <c:pt idx="156">
                  <c:v>17609</c:v>
                </c:pt>
                <c:pt idx="157">
                  <c:v>17733</c:v>
                </c:pt>
                <c:pt idx="158">
                  <c:v>17858</c:v>
                </c:pt>
                <c:pt idx="159">
                  <c:v>17988</c:v>
                </c:pt>
                <c:pt idx="160">
                  <c:v>18114</c:v>
                </c:pt>
                <c:pt idx="161">
                  <c:v>18231</c:v>
                </c:pt>
                <c:pt idx="162">
                  <c:v>18348</c:v>
                </c:pt>
                <c:pt idx="163">
                  <c:v>18473</c:v>
                </c:pt>
                <c:pt idx="164">
                  <c:v>18596</c:v>
                </c:pt>
                <c:pt idx="165">
                  <c:v>18730</c:v>
                </c:pt>
                <c:pt idx="166">
                  <c:v>18863</c:v>
                </c:pt>
                <c:pt idx="167">
                  <c:v>18989</c:v>
                </c:pt>
                <c:pt idx="168">
                  <c:v>19118</c:v>
                </c:pt>
                <c:pt idx="169">
                  <c:v>19250</c:v>
                </c:pt>
                <c:pt idx="170">
                  <c:v>19377</c:v>
                </c:pt>
                <c:pt idx="171">
                  <c:v>19512</c:v>
                </c:pt>
                <c:pt idx="172">
                  <c:v>19648</c:v>
                </c:pt>
                <c:pt idx="173">
                  <c:v>19779</c:v>
                </c:pt>
                <c:pt idx="174">
                  <c:v>19908</c:v>
                </c:pt>
                <c:pt idx="175">
                  <c:v>20039</c:v>
                </c:pt>
                <c:pt idx="176">
                  <c:v>20176</c:v>
                </c:pt>
                <c:pt idx="177">
                  <c:v>20308</c:v>
                </c:pt>
                <c:pt idx="178">
                  <c:v>20455</c:v>
                </c:pt>
                <c:pt idx="179">
                  <c:v>20596</c:v>
                </c:pt>
                <c:pt idx="180">
                  <c:v>20731</c:v>
                </c:pt>
                <c:pt idx="181">
                  <c:v>20866</c:v>
                </c:pt>
                <c:pt idx="182">
                  <c:v>20998</c:v>
                </c:pt>
                <c:pt idx="183">
                  <c:v>21129</c:v>
                </c:pt>
                <c:pt idx="184">
                  <c:v>21269</c:v>
                </c:pt>
                <c:pt idx="185">
                  <c:v>21408</c:v>
                </c:pt>
                <c:pt idx="186">
                  <c:v>21536</c:v>
                </c:pt>
                <c:pt idx="187">
                  <c:v>21665</c:v>
                </c:pt>
                <c:pt idx="188">
                  <c:v>21799</c:v>
                </c:pt>
                <c:pt idx="189">
                  <c:v>21935</c:v>
                </c:pt>
                <c:pt idx="190">
                  <c:v>22080</c:v>
                </c:pt>
                <c:pt idx="191">
                  <c:v>22211</c:v>
                </c:pt>
                <c:pt idx="192">
                  <c:v>22350</c:v>
                </c:pt>
                <c:pt idx="193">
                  <c:v>22482</c:v>
                </c:pt>
                <c:pt idx="194">
                  <c:v>22610</c:v>
                </c:pt>
                <c:pt idx="195">
                  <c:v>22746</c:v>
                </c:pt>
                <c:pt idx="196">
                  <c:v>22874</c:v>
                </c:pt>
                <c:pt idx="197">
                  <c:v>23005</c:v>
                </c:pt>
                <c:pt idx="198">
                  <c:v>23148</c:v>
                </c:pt>
                <c:pt idx="199">
                  <c:v>23297</c:v>
                </c:pt>
                <c:pt idx="200">
                  <c:v>23439</c:v>
                </c:pt>
                <c:pt idx="201">
                  <c:v>23580</c:v>
                </c:pt>
                <c:pt idx="202">
                  <c:v>23720</c:v>
                </c:pt>
                <c:pt idx="203">
                  <c:v>23855</c:v>
                </c:pt>
                <c:pt idx="204">
                  <c:v>23988</c:v>
                </c:pt>
                <c:pt idx="205">
                  <c:v>24129</c:v>
                </c:pt>
                <c:pt idx="206">
                  <c:v>24274</c:v>
                </c:pt>
                <c:pt idx="207">
                  <c:v>24407</c:v>
                </c:pt>
                <c:pt idx="208">
                  <c:v>24554</c:v>
                </c:pt>
                <c:pt idx="209">
                  <c:v>24692</c:v>
                </c:pt>
                <c:pt idx="210">
                  <c:v>24832</c:v>
                </c:pt>
                <c:pt idx="211">
                  <c:v>24975</c:v>
                </c:pt>
                <c:pt idx="212">
                  <c:v>25127</c:v>
                </c:pt>
                <c:pt idx="213">
                  <c:v>25269</c:v>
                </c:pt>
                <c:pt idx="214">
                  <c:v>25409</c:v>
                </c:pt>
                <c:pt idx="215">
                  <c:v>25553</c:v>
                </c:pt>
                <c:pt idx="216">
                  <c:v>25692</c:v>
                </c:pt>
                <c:pt idx="217">
                  <c:v>25841</c:v>
                </c:pt>
                <c:pt idx="218">
                  <c:v>26000</c:v>
                </c:pt>
                <c:pt idx="219">
                  <c:v>26144</c:v>
                </c:pt>
                <c:pt idx="220">
                  <c:v>26291</c:v>
                </c:pt>
                <c:pt idx="221">
                  <c:v>26434</c:v>
                </c:pt>
                <c:pt idx="222">
                  <c:v>26586</c:v>
                </c:pt>
                <c:pt idx="223">
                  <c:v>26733</c:v>
                </c:pt>
                <c:pt idx="224">
                  <c:v>26874</c:v>
                </c:pt>
                <c:pt idx="225">
                  <c:v>27012</c:v>
                </c:pt>
                <c:pt idx="226">
                  <c:v>27156</c:v>
                </c:pt>
                <c:pt idx="227">
                  <c:v>27295</c:v>
                </c:pt>
                <c:pt idx="228">
                  <c:v>27445</c:v>
                </c:pt>
                <c:pt idx="229">
                  <c:v>27599</c:v>
                </c:pt>
                <c:pt idx="230">
                  <c:v>27751</c:v>
                </c:pt>
                <c:pt idx="231">
                  <c:v>27901</c:v>
                </c:pt>
                <c:pt idx="232">
                  <c:v>28053</c:v>
                </c:pt>
                <c:pt idx="233">
                  <c:v>28209</c:v>
                </c:pt>
                <c:pt idx="234">
                  <c:v>28361</c:v>
                </c:pt>
                <c:pt idx="235">
                  <c:v>28512</c:v>
                </c:pt>
                <c:pt idx="236">
                  <c:v>28672</c:v>
                </c:pt>
                <c:pt idx="237">
                  <c:v>28834</c:v>
                </c:pt>
                <c:pt idx="238">
                  <c:v>28987</c:v>
                </c:pt>
                <c:pt idx="239">
                  <c:v>29143</c:v>
                </c:pt>
                <c:pt idx="240">
                  <c:v>29307</c:v>
                </c:pt>
                <c:pt idx="241">
                  <c:v>29476</c:v>
                </c:pt>
                <c:pt idx="242">
                  <c:v>29636</c:v>
                </c:pt>
                <c:pt idx="243">
                  <c:v>29793</c:v>
                </c:pt>
                <c:pt idx="244">
                  <c:v>29947</c:v>
                </c:pt>
                <c:pt idx="245">
                  <c:v>30101</c:v>
                </c:pt>
                <c:pt idx="246">
                  <c:v>30260</c:v>
                </c:pt>
                <c:pt idx="247">
                  <c:v>30411</c:v>
                </c:pt>
                <c:pt idx="248">
                  <c:v>30565</c:v>
                </c:pt>
                <c:pt idx="249">
                  <c:v>30726</c:v>
                </c:pt>
                <c:pt idx="250">
                  <c:v>30891</c:v>
                </c:pt>
                <c:pt idx="251">
                  <c:v>31044</c:v>
                </c:pt>
                <c:pt idx="252">
                  <c:v>31201</c:v>
                </c:pt>
                <c:pt idx="253">
                  <c:v>31360</c:v>
                </c:pt>
                <c:pt idx="254">
                  <c:v>31501</c:v>
                </c:pt>
                <c:pt idx="255">
                  <c:v>31643</c:v>
                </c:pt>
                <c:pt idx="256">
                  <c:v>31796</c:v>
                </c:pt>
                <c:pt idx="257">
                  <c:v>31946</c:v>
                </c:pt>
                <c:pt idx="258">
                  <c:v>32100</c:v>
                </c:pt>
                <c:pt idx="259">
                  <c:v>32260</c:v>
                </c:pt>
                <c:pt idx="260">
                  <c:v>32422</c:v>
                </c:pt>
                <c:pt idx="261">
                  <c:v>32588</c:v>
                </c:pt>
                <c:pt idx="262">
                  <c:v>32755</c:v>
                </c:pt>
                <c:pt idx="263">
                  <c:v>32906</c:v>
                </c:pt>
                <c:pt idx="264">
                  <c:v>33054</c:v>
                </c:pt>
                <c:pt idx="265">
                  <c:v>33201</c:v>
                </c:pt>
                <c:pt idx="266">
                  <c:v>33355</c:v>
                </c:pt>
                <c:pt idx="267">
                  <c:v>33509</c:v>
                </c:pt>
                <c:pt idx="268">
                  <c:v>33653</c:v>
                </c:pt>
                <c:pt idx="269">
                  <c:v>33802</c:v>
                </c:pt>
                <c:pt idx="270">
                  <c:v>33946</c:v>
                </c:pt>
                <c:pt idx="271">
                  <c:v>34093</c:v>
                </c:pt>
                <c:pt idx="272">
                  <c:v>34237</c:v>
                </c:pt>
                <c:pt idx="273">
                  <c:v>34373</c:v>
                </c:pt>
                <c:pt idx="274">
                  <c:v>34528</c:v>
                </c:pt>
                <c:pt idx="275">
                  <c:v>34676</c:v>
                </c:pt>
                <c:pt idx="276">
                  <c:v>34818</c:v>
                </c:pt>
                <c:pt idx="277">
                  <c:v>34958</c:v>
                </c:pt>
                <c:pt idx="278">
                  <c:v>35094</c:v>
                </c:pt>
                <c:pt idx="279">
                  <c:v>35233</c:v>
                </c:pt>
                <c:pt idx="280">
                  <c:v>35358</c:v>
                </c:pt>
                <c:pt idx="281">
                  <c:v>35481</c:v>
                </c:pt>
                <c:pt idx="282">
                  <c:v>35611</c:v>
                </c:pt>
                <c:pt idx="283">
                  <c:v>35742</c:v>
                </c:pt>
                <c:pt idx="284">
                  <c:v>35872</c:v>
                </c:pt>
                <c:pt idx="285">
                  <c:v>36012</c:v>
                </c:pt>
                <c:pt idx="286">
                  <c:v>36166</c:v>
                </c:pt>
                <c:pt idx="287">
                  <c:v>36314</c:v>
                </c:pt>
                <c:pt idx="288">
                  <c:v>36439</c:v>
                </c:pt>
                <c:pt idx="289">
                  <c:v>36569</c:v>
                </c:pt>
                <c:pt idx="290">
                  <c:v>36697</c:v>
                </c:pt>
                <c:pt idx="291">
                  <c:v>36827</c:v>
                </c:pt>
                <c:pt idx="292">
                  <c:v>36954</c:v>
                </c:pt>
                <c:pt idx="293">
                  <c:v>37085</c:v>
                </c:pt>
                <c:pt idx="294">
                  <c:v>37225</c:v>
                </c:pt>
                <c:pt idx="295">
                  <c:v>37348</c:v>
                </c:pt>
                <c:pt idx="296">
                  <c:v>37466</c:v>
                </c:pt>
              </c:numCache>
            </c:numRef>
          </c:xVal>
          <c:yVal>
            <c:numRef>
              <c:f>'Flight data'!$C$4:$L$300</c:f>
              <c:numCache>
                <c:formatCode>0.0</c:formatCode>
                <c:ptCount val="2970"/>
                <c:pt idx="0">
                  <c:v>32.5</c:v>
                </c:pt>
                <c:pt idx="1">
                  <c:v>32.5</c:v>
                </c:pt>
                <c:pt idx="2">
                  <c:v>32.5</c:v>
                </c:pt>
                <c:pt idx="3">
                  <c:v>32.5</c:v>
                </c:pt>
                <c:pt idx="4">
                  <c:v>32.5</c:v>
                </c:pt>
                <c:pt idx="5">
                  <c:v>32.5</c:v>
                </c:pt>
                <c:pt idx="6">
                  <c:v>32.5</c:v>
                </c:pt>
                <c:pt idx="7">
                  <c:v>32.5</c:v>
                </c:pt>
                <c:pt idx="8">
                  <c:v>32.5</c:v>
                </c:pt>
                <c:pt idx="9">
                  <c:v>32.5</c:v>
                </c:pt>
                <c:pt idx="10">
                  <c:v>32.4</c:v>
                </c:pt>
                <c:pt idx="11">
                  <c:v>32.3833333333333</c:v>
                </c:pt>
                <c:pt idx="12">
                  <c:v>32.3</c:v>
                </c:pt>
                <c:pt idx="13">
                  <c:v>32.2333333333333</c:v>
                </c:pt>
                <c:pt idx="14">
                  <c:v>32.15</c:v>
                </c:pt>
                <c:pt idx="15">
                  <c:v>32.05</c:v>
                </c:pt>
                <c:pt idx="16">
                  <c:v>31.9666666666667</c:v>
                </c:pt>
                <c:pt idx="17">
                  <c:v>31.8666666666667</c:v>
                </c:pt>
                <c:pt idx="18">
                  <c:v>31.75</c:v>
                </c:pt>
                <c:pt idx="19">
                  <c:v>31.6333333333333</c:v>
                </c:pt>
                <c:pt idx="20">
                  <c:v>31.5166666666667</c:v>
                </c:pt>
                <c:pt idx="21">
                  <c:v>31.4</c:v>
                </c:pt>
                <c:pt idx="22">
                  <c:v>31.2666666666667</c:v>
                </c:pt>
                <c:pt idx="23">
                  <c:v>31.1333333333333</c:v>
                </c:pt>
                <c:pt idx="24">
                  <c:v>31</c:v>
                </c:pt>
                <c:pt idx="25">
                  <c:v>30.8666666666667</c:v>
                </c:pt>
                <c:pt idx="26">
                  <c:v>30.7333333333333</c:v>
                </c:pt>
                <c:pt idx="27">
                  <c:v>30.5666666666667</c:v>
                </c:pt>
                <c:pt idx="28">
                  <c:v>30.4333333333333</c:v>
                </c:pt>
                <c:pt idx="29">
                  <c:v>30.25</c:v>
                </c:pt>
                <c:pt idx="30">
                  <c:v>30.0833333333333</c:v>
                </c:pt>
                <c:pt idx="31">
                  <c:v>29.9333333333333</c:v>
                </c:pt>
                <c:pt idx="32">
                  <c:v>29.75</c:v>
                </c:pt>
                <c:pt idx="33">
                  <c:v>29.55</c:v>
                </c:pt>
                <c:pt idx="34">
                  <c:v>29.3833333333333</c:v>
                </c:pt>
                <c:pt idx="35">
                  <c:v>29.1833333333333</c:v>
                </c:pt>
                <c:pt idx="36">
                  <c:v>28.9833333333333</c:v>
                </c:pt>
                <c:pt idx="37">
                  <c:v>28.7833333333333</c:v>
                </c:pt>
                <c:pt idx="38">
                  <c:v>28.5833333333333</c:v>
                </c:pt>
                <c:pt idx="39">
                  <c:v>28.35</c:v>
                </c:pt>
                <c:pt idx="40">
                  <c:v>28.1166666666667</c:v>
                </c:pt>
                <c:pt idx="41">
                  <c:v>27.9</c:v>
                </c:pt>
                <c:pt idx="42">
                  <c:v>27.6666666666667</c:v>
                </c:pt>
                <c:pt idx="43">
                  <c:v>27.4166666666667</c:v>
                </c:pt>
                <c:pt idx="44">
                  <c:v>27.1833333333333</c:v>
                </c:pt>
                <c:pt idx="45">
                  <c:v>26.9333333333333</c:v>
                </c:pt>
                <c:pt idx="46">
                  <c:v>26.6833333333333</c:v>
                </c:pt>
                <c:pt idx="47">
                  <c:v>26.4333333333333</c:v>
                </c:pt>
                <c:pt idx="48">
                  <c:v>26.1666666666667</c:v>
                </c:pt>
                <c:pt idx="49">
                  <c:v>25.9</c:v>
                </c:pt>
                <c:pt idx="50">
                  <c:v>25.6166666666667</c:v>
                </c:pt>
                <c:pt idx="51">
                  <c:v>25.3666666666667</c:v>
                </c:pt>
                <c:pt idx="52">
                  <c:v>25.1</c:v>
                </c:pt>
                <c:pt idx="53">
                  <c:v>24.8</c:v>
                </c:pt>
                <c:pt idx="54">
                  <c:v>24.5</c:v>
                </c:pt>
                <c:pt idx="55">
                  <c:v>24.2</c:v>
                </c:pt>
                <c:pt idx="56">
                  <c:v>23.9</c:v>
                </c:pt>
                <c:pt idx="57">
                  <c:v>23.6</c:v>
                </c:pt>
                <c:pt idx="58">
                  <c:v>23.3</c:v>
                </c:pt>
                <c:pt idx="59">
                  <c:v>23</c:v>
                </c:pt>
                <c:pt idx="60">
                  <c:v>22.6666666666667</c:v>
                </c:pt>
                <c:pt idx="61">
                  <c:v>22.35</c:v>
                </c:pt>
                <c:pt idx="62">
                  <c:v>22.0166666666667</c:v>
                </c:pt>
                <c:pt idx="63">
                  <c:v>21.7</c:v>
                </c:pt>
                <c:pt idx="64">
                  <c:v>21.3666666666667</c:v>
                </c:pt>
                <c:pt idx="65">
                  <c:v>21.05</c:v>
                </c:pt>
                <c:pt idx="66">
                  <c:v>20.7</c:v>
                </c:pt>
                <c:pt idx="67">
                  <c:v>20.3666666666667</c:v>
                </c:pt>
                <c:pt idx="68">
                  <c:v>20.0166666666667</c:v>
                </c:pt>
                <c:pt idx="69">
                  <c:v>19.6666666666667</c:v>
                </c:pt>
                <c:pt idx="70">
                  <c:v>19.3166666666667</c:v>
                </c:pt>
                <c:pt idx="71">
                  <c:v>18.95</c:v>
                </c:pt>
                <c:pt idx="72">
                  <c:v>18.6</c:v>
                </c:pt>
                <c:pt idx="73">
                  <c:v>18.2333333333333</c:v>
                </c:pt>
                <c:pt idx="74">
                  <c:v>17.8666666666667</c:v>
                </c:pt>
                <c:pt idx="75">
                  <c:v>17.4833333333333</c:v>
                </c:pt>
                <c:pt idx="76">
                  <c:v>17.1166666666667</c:v>
                </c:pt>
                <c:pt idx="77">
                  <c:v>16.7333333333333</c:v>
                </c:pt>
                <c:pt idx="78">
                  <c:v>16.3666666666667</c:v>
                </c:pt>
                <c:pt idx="79">
                  <c:v>15.9666666666667</c:v>
                </c:pt>
                <c:pt idx="80">
                  <c:v>15.5833333333333</c:v>
                </c:pt>
                <c:pt idx="81">
                  <c:v>15.1833333333333</c:v>
                </c:pt>
                <c:pt idx="82">
                  <c:v>14.8</c:v>
                </c:pt>
                <c:pt idx="83">
                  <c:v>14.4</c:v>
                </c:pt>
                <c:pt idx="84">
                  <c:v>13.9833333333333</c:v>
                </c:pt>
                <c:pt idx="85">
                  <c:v>13.5833333333333</c:v>
                </c:pt>
                <c:pt idx="86">
                  <c:v>13.1666666666667</c:v>
                </c:pt>
                <c:pt idx="87">
                  <c:v>12.75</c:v>
                </c:pt>
                <c:pt idx="88">
                  <c:v>12.3166666666667</c:v>
                </c:pt>
                <c:pt idx="89">
                  <c:v>11.9</c:v>
                </c:pt>
                <c:pt idx="90">
                  <c:v>11.4666666666667</c:v>
                </c:pt>
                <c:pt idx="91">
                  <c:v>11.0333333333333</c:v>
                </c:pt>
                <c:pt idx="92">
                  <c:v>10.6</c:v>
                </c:pt>
                <c:pt idx="93">
                  <c:v>10.1666666666667</c:v>
                </c:pt>
                <c:pt idx="94">
                  <c:v>9.71666666666667</c:v>
                </c:pt>
                <c:pt idx="95">
                  <c:v>9.3</c:v>
                </c:pt>
                <c:pt idx="96">
                  <c:v>8.81666666666667</c:v>
                </c:pt>
                <c:pt idx="97">
                  <c:v>8.38333333333333</c:v>
                </c:pt>
                <c:pt idx="98">
                  <c:v>7.9</c:v>
                </c:pt>
                <c:pt idx="99">
                  <c:v>7.46666666666667</c:v>
                </c:pt>
                <c:pt idx="100">
                  <c:v>7</c:v>
                </c:pt>
                <c:pt idx="101">
                  <c:v>6.53333333333333</c:v>
                </c:pt>
                <c:pt idx="102">
                  <c:v>6.08333333333333</c:v>
                </c:pt>
                <c:pt idx="103">
                  <c:v>5.6</c:v>
                </c:pt>
                <c:pt idx="104">
                  <c:v>5.11666666666667</c:v>
                </c:pt>
                <c:pt idx="105">
                  <c:v>4.63333333333333</c:v>
                </c:pt>
                <c:pt idx="106">
                  <c:v>4.18333333333333</c:v>
                </c:pt>
                <c:pt idx="107">
                  <c:v>3.68333333333333</c:v>
                </c:pt>
                <c:pt idx="108">
                  <c:v>3.18333333333333</c:v>
                </c:pt>
                <c:pt idx="109">
                  <c:v>2.7</c:v>
                </c:pt>
                <c:pt idx="110">
                  <c:v>2.2</c:v>
                </c:pt>
                <c:pt idx="111">
                  <c:v>1.7</c:v>
                </c:pt>
                <c:pt idx="112">
                  <c:v>1.2</c:v>
                </c:pt>
                <c:pt idx="113">
                  <c:v>0.7</c:v>
                </c:pt>
                <c:pt idx="114">
                  <c:v>0.2</c:v>
                </c:pt>
                <c:pt idx="115">
                  <c:v>-0.3</c:v>
                </c:pt>
                <c:pt idx="116">
                  <c:v>-0.816666666666667</c:v>
                </c:pt>
                <c:pt idx="117">
                  <c:v>-1.31666666666667</c:v>
                </c:pt>
                <c:pt idx="118">
                  <c:v>-1.83333333333333</c:v>
                </c:pt>
                <c:pt idx="119">
                  <c:v>-2.33333333333333</c:v>
                </c:pt>
                <c:pt idx="120">
                  <c:v>-2.83333333333333</c:v>
                </c:pt>
                <c:pt idx="121">
                  <c:v>-3.33333333333333</c:v>
                </c:pt>
                <c:pt idx="122">
                  <c:v>-3.81666666666667</c:v>
                </c:pt>
                <c:pt idx="123">
                  <c:v>-4.3</c:v>
                </c:pt>
                <c:pt idx="124">
                  <c:v>-4.8</c:v>
                </c:pt>
                <c:pt idx="125">
                  <c:v>-5.3</c:v>
                </c:pt>
                <c:pt idx="126">
                  <c:v>-5.78333333333333</c:v>
                </c:pt>
                <c:pt idx="127">
                  <c:v>-6.28333333333333</c:v>
                </c:pt>
                <c:pt idx="128">
                  <c:v>-6.76666666666667</c:v>
                </c:pt>
                <c:pt idx="129">
                  <c:v>-7.23333333333333</c:v>
                </c:pt>
                <c:pt idx="130">
                  <c:v>-7.71666666666667</c:v>
                </c:pt>
                <c:pt idx="131">
                  <c:v>-8.2</c:v>
                </c:pt>
                <c:pt idx="132">
                  <c:v>-8.68333333333333</c:v>
                </c:pt>
                <c:pt idx="133">
                  <c:v>-9.11666666666667</c:v>
                </c:pt>
                <c:pt idx="134">
                  <c:v>-9.6</c:v>
                </c:pt>
                <c:pt idx="135">
                  <c:v>-10.0333333333333</c:v>
                </c:pt>
                <c:pt idx="136">
                  <c:v>-10.5</c:v>
                </c:pt>
                <c:pt idx="137">
                  <c:v>-10.9333333333333</c:v>
                </c:pt>
                <c:pt idx="138">
                  <c:v>-11.35</c:v>
                </c:pt>
                <c:pt idx="139">
                  <c:v>-11.8</c:v>
                </c:pt>
                <c:pt idx="140">
                  <c:v>-12.2</c:v>
                </c:pt>
                <c:pt idx="141">
                  <c:v>-12.6333333333333</c:v>
                </c:pt>
                <c:pt idx="142">
                  <c:v>-13</c:v>
                </c:pt>
                <c:pt idx="143">
                  <c:v>-13.4333333333333</c:v>
                </c:pt>
                <c:pt idx="144">
                  <c:v>-13.8</c:v>
                </c:pt>
                <c:pt idx="145">
                  <c:v>-14.1666666666667</c:v>
                </c:pt>
                <c:pt idx="146">
                  <c:v>-14.55</c:v>
                </c:pt>
                <c:pt idx="147">
                  <c:v>-14.9333333333333</c:v>
                </c:pt>
                <c:pt idx="148">
                  <c:v>-15.3</c:v>
                </c:pt>
                <c:pt idx="149">
                  <c:v>-15.65</c:v>
                </c:pt>
                <c:pt idx="150">
                  <c:v>-16</c:v>
                </c:pt>
                <c:pt idx="151">
                  <c:v>-16.35</c:v>
                </c:pt>
                <c:pt idx="152">
                  <c:v>-16.6666666666667</c:v>
                </c:pt>
                <c:pt idx="153">
                  <c:v>-17</c:v>
                </c:pt>
                <c:pt idx="154">
                  <c:v>-17.35</c:v>
                </c:pt>
                <c:pt idx="155">
                  <c:v>-17.65</c:v>
                </c:pt>
                <c:pt idx="156">
                  <c:v>-18</c:v>
                </c:pt>
                <c:pt idx="157">
                  <c:v>-18.3</c:v>
                </c:pt>
                <c:pt idx="158">
                  <c:v>-18.6</c:v>
                </c:pt>
                <c:pt idx="159">
                  <c:v>-18.9</c:v>
                </c:pt>
                <c:pt idx="160">
                  <c:v>-19.2</c:v>
                </c:pt>
                <c:pt idx="161">
                  <c:v>-19.5</c:v>
                </c:pt>
                <c:pt idx="162">
                  <c:v>-19.8</c:v>
                </c:pt>
                <c:pt idx="163">
                  <c:v>-20.1</c:v>
                </c:pt>
                <c:pt idx="164">
                  <c:v>-20.3833333333333</c:v>
                </c:pt>
                <c:pt idx="165">
                  <c:v>-20.65</c:v>
                </c:pt>
                <c:pt idx="166">
                  <c:v>-20.9333333333333</c:v>
                </c:pt>
                <c:pt idx="167">
                  <c:v>-21.2</c:v>
                </c:pt>
                <c:pt idx="168">
                  <c:v>-21.4333333333333</c:v>
                </c:pt>
                <c:pt idx="169">
                  <c:v>-21.7</c:v>
                </c:pt>
                <c:pt idx="170">
                  <c:v>-21.9666666666667</c:v>
                </c:pt>
                <c:pt idx="171">
                  <c:v>-22.2</c:v>
                </c:pt>
                <c:pt idx="172">
                  <c:v>-22.4333333333333</c:v>
                </c:pt>
                <c:pt idx="173">
                  <c:v>-22.7</c:v>
                </c:pt>
                <c:pt idx="174">
                  <c:v>-22.9166666666667</c:v>
                </c:pt>
                <c:pt idx="175">
                  <c:v>-23.1333333333333</c:v>
                </c:pt>
                <c:pt idx="176">
                  <c:v>-23.3833333333333</c:v>
                </c:pt>
                <c:pt idx="177">
                  <c:v>-23.5833333333333</c:v>
                </c:pt>
                <c:pt idx="178">
                  <c:v>-23.8166666666667</c:v>
                </c:pt>
                <c:pt idx="179">
                  <c:v>-24.0166666666667</c:v>
                </c:pt>
                <c:pt idx="180">
                  <c:v>-24.25</c:v>
                </c:pt>
                <c:pt idx="181">
                  <c:v>-24.45</c:v>
                </c:pt>
                <c:pt idx="182">
                  <c:v>-24.65</c:v>
                </c:pt>
                <c:pt idx="183">
                  <c:v>-24.8666666666667</c:v>
                </c:pt>
                <c:pt idx="184">
                  <c:v>-25.05</c:v>
                </c:pt>
                <c:pt idx="185">
                  <c:v>-25.25</c:v>
                </c:pt>
                <c:pt idx="186">
                  <c:v>-25.45</c:v>
                </c:pt>
                <c:pt idx="187">
                  <c:v>-25.65</c:v>
                </c:pt>
                <c:pt idx="188">
                  <c:v>-25.8333333333333</c:v>
                </c:pt>
                <c:pt idx="189">
                  <c:v>-26.0166666666667</c:v>
                </c:pt>
                <c:pt idx="190">
                  <c:v>-26.2</c:v>
                </c:pt>
                <c:pt idx="191">
                  <c:v>-26.3833333333333</c:v>
                </c:pt>
                <c:pt idx="192">
                  <c:v>-26.55</c:v>
                </c:pt>
                <c:pt idx="193">
                  <c:v>-26.75</c:v>
                </c:pt>
                <c:pt idx="194">
                  <c:v>-26.9166666666667</c:v>
                </c:pt>
                <c:pt idx="195">
                  <c:v>-27.0666666666667</c:v>
                </c:pt>
                <c:pt idx="196">
                  <c:v>-27.25</c:v>
                </c:pt>
                <c:pt idx="197">
                  <c:v>-27.4</c:v>
                </c:pt>
                <c:pt idx="198">
                  <c:v>-27.55</c:v>
                </c:pt>
                <c:pt idx="199">
                  <c:v>-27.7166666666667</c:v>
                </c:pt>
                <c:pt idx="200">
                  <c:v>-27.85</c:v>
                </c:pt>
                <c:pt idx="201">
                  <c:v>-28.0166666666667</c:v>
                </c:pt>
                <c:pt idx="202">
                  <c:v>-28.1333333333333</c:v>
                </c:pt>
                <c:pt idx="203">
                  <c:v>-28.2833333333333</c:v>
                </c:pt>
                <c:pt idx="204">
                  <c:v>-28.4166666666667</c:v>
                </c:pt>
                <c:pt idx="205">
                  <c:v>-28.5333333333333</c:v>
                </c:pt>
                <c:pt idx="206">
                  <c:v>-28.65</c:v>
                </c:pt>
                <c:pt idx="207">
                  <c:v>-28.7833333333333</c:v>
                </c:pt>
                <c:pt idx="208">
                  <c:v>-28.9</c:v>
                </c:pt>
                <c:pt idx="209">
                  <c:v>-29</c:v>
                </c:pt>
                <c:pt idx="210">
                  <c:v>-29.1</c:v>
                </c:pt>
                <c:pt idx="211">
                  <c:v>-29.2166666666667</c:v>
                </c:pt>
                <c:pt idx="212">
                  <c:v>-29.3166666666667</c:v>
                </c:pt>
                <c:pt idx="213">
                  <c:v>-29.4</c:v>
                </c:pt>
                <c:pt idx="214">
                  <c:v>-29.5</c:v>
                </c:pt>
                <c:pt idx="215">
                  <c:v>-29.5833333333333</c:v>
                </c:pt>
                <c:pt idx="216">
                  <c:v>-29.6666666666667</c:v>
                </c:pt>
                <c:pt idx="217">
                  <c:v>-29.7666666666667</c:v>
                </c:pt>
                <c:pt idx="218">
                  <c:v>-29.85</c:v>
                </c:pt>
                <c:pt idx="219">
                  <c:v>-29.9166666666667</c:v>
                </c:pt>
                <c:pt idx="220">
                  <c:v>-30</c:v>
                </c:pt>
                <c:pt idx="221">
                  <c:v>-30.0666666666667</c:v>
                </c:pt>
                <c:pt idx="222">
                  <c:v>-30.1166666666667</c:v>
                </c:pt>
                <c:pt idx="223">
                  <c:v>-30.2</c:v>
                </c:pt>
                <c:pt idx="224">
                  <c:v>-30.2833333333333</c:v>
                </c:pt>
                <c:pt idx="225">
                  <c:v>-30.35</c:v>
                </c:pt>
                <c:pt idx="226">
                  <c:v>-30.4</c:v>
                </c:pt>
                <c:pt idx="227">
                  <c:v>-30.4833333333333</c:v>
                </c:pt>
                <c:pt idx="228">
                  <c:v>-30.5166666666667</c:v>
                </c:pt>
                <c:pt idx="229">
                  <c:v>-30.6</c:v>
                </c:pt>
                <c:pt idx="230">
                  <c:v>-30.6166666666667</c:v>
                </c:pt>
                <c:pt idx="231">
                  <c:v>-30.7</c:v>
                </c:pt>
                <c:pt idx="232">
                  <c:v>-30.7333333333333</c:v>
                </c:pt>
                <c:pt idx="233">
                  <c:v>-30.8</c:v>
                </c:pt>
                <c:pt idx="234">
                  <c:v>-30.8</c:v>
                </c:pt>
                <c:pt idx="235">
                  <c:v>-30.8666666666667</c:v>
                </c:pt>
                <c:pt idx="236">
                  <c:v>-30.9</c:v>
                </c:pt>
                <c:pt idx="237">
                  <c:v>-30.9</c:v>
                </c:pt>
                <c:pt idx="238">
                  <c:v>-30.9833333333333</c:v>
                </c:pt>
                <c:pt idx="239">
                  <c:v>-31</c:v>
                </c:pt>
                <c:pt idx="240">
                  <c:v>-31</c:v>
                </c:pt>
                <c:pt idx="241">
                  <c:v>-31</c:v>
                </c:pt>
                <c:pt idx="242">
                  <c:v>-31.0333333333333</c:v>
                </c:pt>
                <c:pt idx="243">
                  <c:v>-31.1</c:v>
                </c:pt>
                <c:pt idx="244">
                  <c:v>-31.1</c:v>
                </c:pt>
                <c:pt idx="245">
                  <c:v>-31.1</c:v>
                </c:pt>
                <c:pt idx="246">
                  <c:v>-31.1</c:v>
                </c:pt>
                <c:pt idx="247">
                  <c:v>-31.1</c:v>
                </c:pt>
                <c:pt idx="248">
                  <c:v>-31.1</c:v>
                </c:pt>
                <c:pt idx="249">
                  <c:v>-31.1166666666667</c:v>
                </c:pt>
                <c:pt idx="250">
                  <c:v>-31.15</c:v>
                </c:pt>
                <c:pt idx="251">
                  <c:v>-31.1833333333333</c:v>
                </c:pt>
                <c:pt idx="252">
                  <c:v>-31.1666666666667</c:v>
                </c:pt>
                <c:pt idx="253">
                  <c:v>-31.1</c:v>
                </c:pt>
                <c:pt idx="254">
                  <c:v>-31.1</c:v>
                </c:pt>
                <c:pt idx="255">
                  <c:v>-31.1</c:v>
                </c:pt>
                <c:pt idx="256">
                  <c:v>-31.1</c:v>
                </c:pt>
                <c:pt idx="257">
                  <c:v>-31.1</c:v>
                </c:pt>
                <c:pt idx="258">
                  <c:v>-31.1</c:v>
                </c:pt>
                <c:pt idx="259">
                  <c:v>-31.1</c:v>
                </c:pt>
                <c:pt idx="260">
                  <c:v>-31.1</c:v>
                </c:pt>
                <c:pt idx="261">
                  <c:v>-31.1</c:v>
                </c:pt>
                <c:pt idx="262">
                  <c:v>-31.1</c:v>
                </c:pt>
                <c:pt idx="263">
                  <c:v>-31</c:v>
                </c:pt>
                <c:pt idx="264">
                  <c:v>-31</c:v>
                </c:pt>
                <c:pt idx="265">
                  <c:v>-31</c:v>
                </c:pt>
                <c:pt idx="266">
                  <c:v>-31</c:v>
                </c:pt>
                <c:pt idx="267">
                  <c:v>-31</c:v>
                </c:pt>
                <c:pt idx="268">
                  <c:v>-30.9833333333333</c:v>
                </c:pt>
                <c:pt idx="269">
                  <c:v>-30.9</c:v>
                </c:pt>
                <c:pt idx="270">
                  <c:v>-30.9</c:v>
                </c:pt>
                <c:pt idx="271">
                  <c:v>-30.9</c:v>
                </c:pt>
                <c:pt idx="272">
                  <c:v>-30.9</c:v>
                </c:pt>
                <c:pt idx="273">
                  <c:v>-30.85</c:v>
                </c:pt>
                <c:pt idx="274">
                  <c:v>-30.8</c:v>
                </c:pt>
                <c:pt idx="275">
                  <c:v>-30.8</c:v>
                </c:pt>
                <c:pt idx="276">
                  <c:v>-30.7166666666667</c:v>
                </c:pt>
                <c:pt idx="277">
                  <c:v>-30.7</c:v>
                </c:pt>
                <c:pt idx="278">
                  <c:v>-30.6</c:v>
                </c:pt>
                <c:pt idx="279">
                  <c:v>-30.5833333333333</c:v>
                </c:pt>
                <c:pt idx="280">
                  <c:v>-30.5</c:v>
                </c:pt>
                <c:pt idx="281">
                  <c:v>-30.4833333333333</c:v>
                </c:pt>
                <c:pt idx="282">
                  <c:v>-30.4</c:v>
                </c:pt>
                <c:pt idx="283">
                  <c:v>-30.3666666666667</c:v>
                </c:pt>
                <c:pt idx="284">
                  <c:v>-30.3</c:v>
                </c:pt>
                <c:pt idx="285">
                  <c:v>-30.2666666666667</c:v>
                </c:pt>
                <c:pt idx="286">
                  <c:v>-30.2</c:v>
                </c:pt>
                <c:pt idx="287">
                  <c:v>-30.1166666666667</c:v>
                </c:pt>
                <c:pt idx="288">
                  <c:v>-30.1</c:v>
                </c:pt>
                <c:pt idx="289">
                  <c:v>-30.0166666666667</c:v>
                </c:pt>
                <c:pt idx="290">
                  <c:v>-30</c:v>
                </c:pt>
                <c:pt idx="291">
                  <c:v>-29.9</c:v>
                </c:pt>
                <c:pt idx="292">
                  <c:v>-29.8666666666667</c:v>
                </c:pt>
                <c:pt idx="293">
                  <c:v>-29.8</c:v>
                </c:pt>
                <c:pt idx="294">
                  <c:v>-29.7166666666667</c:v>
                </c:pt>
                <c:pt idx="295">
                  <c:v>-29.65</c:v>
                </c:pt>
                <c:pt idx="296">
                  <c:v>-29.5833333333333</c:v>
                </c:pt>
                <c:pt idx="297">
                  <c:v>1007.26084220716</c:v>
                </c:pt>
                <c:pt idx="298">
                  <c:v>1007.24485317844</c:v>
                </c:pt>
                <c:pt idx="299">
                  <c:v>1001.32891255244</c:v>
                </c:pt>
                <c:pt idx="300">
                  <c:v>986.858841561794</c:v>
                </c:pt>
                <c:pt idx="301">
                  <c:v>975.730477573411</c:v>
                </c:pt>
                <c:pt idx="302">
                  <c:v>965.577444336883</c:v>
                </c:pt>
                <c:pt idx="303">
                  <c:v>950.243965795418</c:v>
                </c:pt>
                <c:pt idx="304">
                  <c:v>933.039770893837</c:v>
                </c:pt>
                <c:pt idx="305">
                  <c:v>916.778928686673</c:v>
                </c:pt>
                <c:pt idx="306">
                  <c:v>905.026992578251</c:v>
                </c:pt>
                <c:pt idx="307">
                  <c:v>893.370990642143</c:v>
                </c:pt>
                <c:pt idx="308">
                  <c:v>881.619054533721</c:v>
                </c:pt>
                <c:pt idx="309">
                  <c:v>869.771184252985</c:v>
                </c:pt>
                <c:pt idx="310">
                  <c:v>859.330348499516</c:v>
                </c:pt>
                <c:pt idx="311">
                  <c:v>848.313907712165</c:v>
                </c:pt>
                <c:pt idx="312">
                  <c:v>837.169554695063</c:v>
                </c:pt>
                <c:pt idx="313">
                  <c:v>826.025201677961</c:v>
                </c:pt>
                <c:pt idx="314">
                  <c:v>815.744256211681</c:v>
                </c:pt>
                <c:pt idx="315">
                  <c:v>805.19149725718</c:v>
                </c:pt>
                <c:pt idx="316">
                  <c:v>794.46285898677</c:v>
                </c:pt>
                <c:pt idx="317">
                  <c:v>784.373781865118</c:v>
                </c:pt>
                <c:pt idx="318">
                  <c:v>775.43591481123</c:v>
                </c:pt>
                <c:pt idx="319">
                  <c:v>764.355517909003</c:v>
                </c:pt>
                <c:pt idx="320">
                  <c:v>753.962649241691</c:v>
                </c:pt>
                <c:pt idx="321">
                  <c:v>743.905550177477</c:v>
                </c:pt>
                <c:pt idx="322">
                  <c:v>731.929767666989</c:v>
                </c:pt>
                <c:pt idx="323">
                  <c:v>719.666182639561</c:v>
                </c:pt>
                <c:pt idx="324">
                  <c:v>709.433204259439</c:v>
                </c:pt>
                <c:pt idx="325">
                  <c:v>699.631929654727</c:v>
                </c:pt>
                <c:pt idx="326">
                  <c:v>689.958567279768</c:v>
                </c:pt>
                <c:pt idx="327">
                  <c:v>680.045369474024</c:v>
                </c:pt>
                <c:pt idx="328">
                  <c:v>670.244094869313</c:v>
                </c:pt>
                <c:pt idx="329">
                  <c:v>661.769909648274</c:v>
                </c:pt>
                <c:pt idx="330">
                  <c:v>653.391658599548</c:v>
                </c:pt>
                <c:pt idx="331">
                  <c:v>645.20527589545</c:v>
                </c:pt>
                <c:pt idx="332">
                  <c:v>637.082849306228</c:v>
                </c:pt>
                <c:pt idx="333">
                  <c:v>628.928444659568</c:v>
                </c:pt>
                <c:pt idx="334">
                  <c:v>620.774040012907</c:v>
                </c:pt>
                <c:pt idx="335">
                  <c:v>612.42776702162</c:v>
                </c:pt>
                <c:pt idx="336">
                  <c:v>602.706437560503</c:v>
                </c:pt>
                <c:pt idx="337">
                  <c:v>594.935769603098</c:v>
                </c:pt>
                <c:pt idx="338">
                  <c:v>587.372959019038</c:v>
                </c:pt>
                <c:pt idx="339">
                  <c:v>580.049983865763</c:v>
                </c:pt>
                <c:pt idx="340">
                  <c:v>572.854920942239</c:v>
                </c:pt>
                <c:pt idx="341">
                  <c:v>565.579912875121</c:v>
                </c:pt>
                <c:pt idx="342">
                  <c:v>558.320893836722</c:v>
                </c:pt>
                <c:pt idx="343">
                  <c:v>550.949951597289</c:v>
                </c:pt>
                <c:pt idx="344">
                  <c:v>544.010713133269</c:v>
                </c:pt>
                <c:pt idx="345">
                  <c:v>537.055485640529</c:v>
                </c:pt>
                <c:pt idx="346">
                  <c:v>530.116247176509</c:v>
                </c:pt>
                <c:pt idx="347">
                  <c:v>523.017118425298</c:v>
                </c:pt>
                <c:pt idx="348">
                  <c:v>515.74211035818</c:v>
                </c:pt>
                <c:pt idx="349">
                  <c:v>508.738915779284</c:v>
                </c:pt>
                <c:pt idx="350">
                  <c:v>501.799677315263</c:v>
                </c:pt>
                <c:pt idx="351">
                  <c:v>494.956373023556</c:v>
                </c:pt>
                <c:pt idx="352">
                  <c:v>488.177024846725</c:v>
                </c:pt>
                <c:pt idx="353">
                  <c:v>481.845369474024</c:v>
                </c:pt>
                <c:pt idx="354">
                  <c:v>475.529703130042</c:v>
                </c:pt>
                <c:pt idx="355">
                  <c:v>469.262003872217</c:v>
                </c:pt>
                <c:pt idx="356">
                  <c:v>463.02628267183</c:v>
                </c:pt>
                <c:pt idx="357">
                  <c:v>456.966440787351</c:v>
                </c:pt>
                <c:pt idx="358">
                  <c:v>450.986544046467</c:v>
                </c:pt>
                <c:pt idx="359">
                  <c:v>445.006647305582</c:v>
                </c:pt>
                <c:pt idx="360">
                  <c:v>439.60235559858</c:v>
                </c:pt>
                <c:pt idx="361">
                  <c:v>433.974217489513</c:v>
                </c:pt>
                <c:pt idx="362">
                  <c:v>428.442013552759</c:v>
                </c:pt>
                <c:pt idx="363">
                  <c:v>422.781897386254</c:v>
                </c:pt>
                <c:pt idx="364">
                  <c:v>417.345627621814</c:v>
                </c:pt>
                <c:pt idx="365">
                  <c:v>411.749467570184</c:v>
                </c:pt>
                <c:pt idx="366">
                  <c:v>405.625669570829</c:v>
                </c:pt>
                <c:pt idx="367">
                  <c:v>399.949564375605</c:v>
                </c:pt>
                <c:pt idx="368">
                  <c:v>394.305437237819</c:v>
                </c:pt>
                <c:pt idx="369">
                  <c:v>388.773233301065</c:v>
                </c:pt>
                <c:pt idx="370">
                  <c:v>383.400919651501</c:v>
                </c:pt>
                <c:pt idx="371">
                  <c:v>378.076573088093</c:v>
                </c:pt>
                <c:pt idx="372">
                  <c:v>372.704259438529</c:v>
                </c:pt>
                <c:pt idx="373">
                  <c:v>366.692384640207</c:v>
                </c:pt>
                <c:pt idx="374">
                  <c:v>359.913036463375</c:v>
                </c:pt>
                <c:pt idx="375">
                  <c:v>354.125008067119</c:v>
                </c:pt>
                <c:pt idx="376">
                  <c:v>348.768683446273</c:v>
                </c:pt>
                <c:pt idx="377">
                  <c:v>343.604227170055</c:v>
                </c:pt>
                <c:pt idx="378">
                  <c:v>338.519716037431</c:v>
                </c:pt>
                <c:pt idx="379">
                  <c:v>333.40322684737</c:v>
                </c:pt>
                <c:pt idx="380">
                  <c:v>328.238770571152</c:v>
                </c:pt>
                <c:pt idx="381">
                  <c:v>323.298160696999</c:v>
                </c:pt>
                <c:pt idx="382">
                  <c:v>318.229638593095</c:v>
                </c:pt>
                <c:pt idx="383">
                  <c:v>313.033204259439</c:v>
                </c:pt>
                <c:pt idx="384">
                  <c:v>307.948693126815</c:v>
                </c:pt>
                <c:pt idx="385">
                  <c:v>302.992094223943</c:v>
                </c:pt>
                <c:pt idx="386">
                  <c:v>297.971539206196</c:v>
                </c:pt>
                <c:pt idx="387">
                  <c:v>292.950984188448</c:v>
                </c:pt>
                <c:pt idx="388">
                  <c:v>287.994385285576</c:v>
                </c:pt>
                <c:pt idx="389">
                  <c:v>283.085753468861</c:v>
                </c:pt>
                <c:pt idx="390">
                  <c:v>277.825363020329</c:v>
                </c:pt>
                <c:pt idx="391">
                  <c:v>272.708873830268</c:v>
                </c:pt>
                <c:pt idx="392">
                  <c:v>268.247934817683</c:v>
                </c:pt>
                <c:pt idx="393">
                  <c:v>263.866940948693</c:v>
                </c:pt>
                <c:pt idx="394">
                  <c:v>259.67781542433</c:v>
                </c:pt>
                <c:pt idx="395">
                  <c:v>255.568635043562</c:v>
                </c:pt>
                <c:pt idx="396">
                  <c:v>251.52341077767</c:v>
                </c:pt>
                <c:pt idx="397">
                  <c:v>247.510164569216</c:v>
                </c:pt>
                <c:pt idx="398">
                  <c:v>243.257082929977</c:v>
                </c:pt>
                <c:pt idx="399">
                  <c:v>238.98801226202</c:v>
                </c:pt>
                <c:pt idx="400">
                  <c:v>235.038722168441</c:v>
                </c:pt>
                <c:pt idx="401">
                  <c:v>231.057454017425</c:v>
                </c:pt>
                <c:pt idx="402">
                  <c:v>227.108163923846</c:v>
                </c:pt>
                <c:pt idx="403">
                  <c:v>223.334753146176</c:v>
                </c:pt>
                <c:pt idx="404">
                  <c:v>219.561342368506</c:v>
                </c:pt>
                <c:pt idx="405">
                  <c:v>215.755953533398</c:v>
                </c:pt>
                <c:pt idx="406">
                  <c:v>211.95056469829</c:v>
                </c:pt>
                <c:pt idx="407">
                  <c:v>208.17715392062</c:v>
                </c:pt>
                <c:pt idx="408">
                  <c:v>204.531655372701</c:v>
                </c:pt>
                <c:pt idx="409">
                  <c:v>201.030058083253</c:v>
                </c:pt>
                <c:pt idx="410">
                  <c:v>197.576427879961</c:v>
                </c:pt>
                <c:pt idx="411">
                  <c:v>193.994885446918</c:v>
                </c:pt>
                <c:pt idx="412">
                  <c:v>190.605211358503</c:v>
                </c:pt>
                <c:pt idx="413">
                  <c:v>187.231526298806</c:v>
                </c:pt>
                <c:pt idx="414">
                  <c:v>183.873830267828</c:v>
                </c:pt>
                <c:pt idx="415">
                  <c:v>180.580090351726</c:v>
                </c:pt>
                <c:pt idx="416">
                  <c:v>177.270361406905</c:v>
                </c:pt>
                <c:pt idx="417">
                  <c:v>174.040577605679</c:v>
                </c:pt>
                <c:pt idx="418">
                  <c:v>170.55496934495</c:v>
                </c:pt>
                <c:pt idx="419">
                  <c:v>166.78155856728</c:v>
                </c:pt>
                <c:pt idx="420">
                  <c:v>163.631719909648</c:v>
                </c:pt>
                <c:pt idx="421">
                  <c:v>160.641771539206</c:v>
                </c:pt>
                <c:pt idx="422">
                  <c:v>157.779735398516</c:v>
                </c:pt>
                <c:pt idx="423">
                  <c:v>154.917699257825</c:v>
                </c:pt>
                <c:pt idx="424">
                  <c:v>152.167586318167</c:v>
                </c:pt>
                <c:pt idx="425">
                  <c:v>149.433462407228</c:v>
                </c:pt>
                <c:pt idx="426">
                  <c:v>146.491481122943</c:v>
                </c:pt>
                <c:pt idx="427">
                  <c:v>143.805324298161</c:v>
                </c:pt>
                <c:pt idx="428">
                  <c:v>141.215101645692</c:v>
                </c:pt>
                <c:pt idx="429">
                  <c:v>138.624878993224</c:v>
                </c:pt>
                <c:pt idx="430">
                  <c:v>136.066634398193</c:v>
                </c:pt>
                <c:pt idx="431">
                  <c:v>133.652291061633</c:v>
                </c:pt>
                <c:pt idx="432">
                  <c:v>131.221958696354</c:v>
                </c:pt>
                <c:pt idx="433">
                  <c:v>128.807615359794</c:v>
                </c:pt>
                <c:pt idx="434">
                  <c:v>126.377282994514</c:v>
                </c:pt>
                <c:pt idx="435">
                  <c:v>123.978928686673</c:v>
                </c:pt>
                <c:pt idx="436">
                  <c:v>121.724475637302</c:v>
                </c:pt>
                <c:pt idx="437">
                  <c:v>119.502000645369</c:v>
                </c:pt>
                <c:pt idx="438">
                  <c:v>117.311503710874</c:v>
                </c:pt>
                <c:pt idx="439">
                  <c:v>115.26490803485</c:v>
                </c:pt>
                <c:pt idx="440">
                  <c:v>113.202323330106</c:v>
                </c:pt>
                <c:pt idx="441">
                  <c:v>111.219683768958</c:v>
                </c:pt>
                <c:pt idx="442">
                  <c:v>109.237044207809</c:v>
                </c:pt>
                <c:pt idx="443">
                  <c:v>107.25440464666</c:v>
                </c:pt>
                <c:pt idx="444">
                  <c:v>105.28775411423</c:v>
                </c:pt>
                <c:pt idx="445">
                  <c:v>103.209180380768</c:v>
                </c:pt>
                <c:pt idx="446">
                  <c:v>101.2105517909</c:v>
                </c:pt>
                <c:pt idx="447">
                  <c:v>99.2279122297515</c:v>
                </c:pt>
                <c:pt idx="448">
                  <c:v>97.2612616973217</c:v>
                </c:pt>
                <c:pt idx="449">
                  <c:v>95.3905453372056</c:v>
                </c:pt>
                <c:pt idx="450">
                  <c:v>93.5837850919652</c:v>
                </c:pt>
                <c:pt idx="451">
                  <c:v>91.8249919328816</c:v>
                </c:pt>
                <c:pt idx="452">
                  <c:v>90.0342207163601</c:v>
                </c:pt>
                <c:pt idx="453">
                  <c:v>88.3074056147144</c:v>
                </c:pt>
                <c:pt idx="454">
                  <c:v>86.5805905130687</c:v>
                </c:pt>
                <c:pt idx="455">
                  <c:v>84.9017424975799</c:v>
                </c:pt>
                <c:pt idx="456">
                  <c:v>83.2548725395289</c:v>
                </c:pt>
                <c:pt idx="457">
                  <c:v>81.592013552759</c:v>
                </c:pt>
                <c:pt idx="458">
                  <c:v>80.0250887383027</c:v>
                </c:pt>
                <c:pt idx="459">
                  <c:v>78.4741529525654</c:v>
                </c:pt>
                <c:pt idx="460">
                  <c:v>77.0191513391417</c:v>
                </c:pt>
                <c:pt idx="461">
                  <c:v>75.5961277831559</c:v>
                </c:pt>
                <c:pt idx="462">
                  <c:v>74.2210713133269</c:v>
                </c:pt>
                <c:pt idx="463">
                  <c:v>72.81403678606</c:v>
                </c:pt>
                <c:pt idx="464">
                  <c:v>71.3910132300742</c:v>
                </c:pt>
                <c:pt idx="465">
                  <c:v>69.9839787028074</c:v>
                </c:pt>
                <c:pt idx="466">
                  <c:v>68.6249112616973</c:v>
                </c:pt>
                <c:pt idx="467">
                  <c:v>67.2498547918683</c:v>
                </c:pt>
                <c:pt idx="468">
                  <c:v>65.8747983220394</c:v>
                </c:pt>
                <c:pt idx="469">
                  <c:v>64.5317199096483</c:v>
                </c:pt>
                <c:pt idx="470">
                  <c:v>63.2685866408519</c:v>
                </c:pt>
                <c:pt idx="471">
                  <c:v>61.9894643433366</c:v>
                </c:pt>
                <c:pt idx="472">
                  <c:v>60.7423201032591</c:v>
                </c:pt>
                <c:pt idx="473">
                  <c:v>59.4791868344627</c:v>
                </c:pt>
                <c:pt idx="474">
                  <c:v>58.31198773798</c:v>
                </c:pt>
                <c:pt idx="475">
                  <c:v>57.0808325266215</c:v>
                </c:pt>
                <c:pt idx="476">
                  <c:v>55.849677315263</c:v>
                </c:pt>
                <c:pt idx="477">
                  <c:v>54.6824782187803</c:v>
                </c:pt>
                <c:pt idx="478">
                  <c:v>53.5312681510165</c:v>
                </c:pt>
                <c:pt idx="479">
                  <c:v>52.3800580832527</c:v>
                </c:pt>
                <c:pt idx="480">
                  <c:v>51.3087931590836</c:v>
                </c:pt>
                <c:pt idx="481">
                  <c:v>50.2215392061955</c:v>
                </c:pt>
                <c:pt idx="482">
                  <c:v>49.1982413681833</c:v>
                </c:pt>
                <c:pt idx="483">
                  <c:v>48.174943530171</c:v>
                </c:pt>
                <c:pt idx="484">
                  <c:v>47.1996127783156</c:v>
                </c:pt>
                <c:pt idx="485">
                  <c:v>46.2402710551791</c:v>
                </c:pt>
                <c:pt idx="486">
                  <c:v>45.2969183607615</c:v>
                </c:pt>
                <c:pt idx="487">
                  <c:v>44.4015327525008</c:v>
                </c:pt>
                <c:pt idx="488">
                  <c:v>43.4901581155211</c:v>
                </c:pt>
                <c:pt idx="489">
                  <c:v>42.5627944498225</c:v>
                </c:pt>
                <c:pt idx="490">
                  <c:v>41.6833978702807</c:v>
                </c:pt>
                <c:pt idx="491">
                  <c:v>40.78801226202</c:v>
                </c:pt>
                <c:pt idx="492">
                  <c:v>39.956582768635</c:v>
                </c:pt>
                <c:pt idx="493">
                  <c:v>39.2050984188448</c:v>
                </c:pt>
                <c:pt idx="494">
                  <c:v>38.3896579541788</c:v>
                </c:pt>
                <c:pt idx="495">
                  <c:v>37.6381736043885</c:v>
                </c:pt>
                <c:pt idx="496">
                  <c:v>36.8866892545983</c:v>
                </c:pt>
                <c:pt idx="497">
                  <c:v>36.1671829622459</c:v>
                </c:pt>
                <c:pt idx="498">
                  <c:v>35.4316876411746</c:v>
                </c:pt>
                <c:pt idx="499">
                  <c:v>34.6322362052275</c:v>
                </c:pt>
                <c:pt idx="500">
                  <c:v>33.9127299128751</c:v>
                </c:pt>
                <c:pt idx="501">
                  <c:v>33.1932236205228</c:v>
                </c:pt>
                <c:pt idx="502">
                  <c:v>32.4897063568893</c:v>
                </c:pt>
                <c:pt idx="503">
                  <c:v>31.8181671506938</c:v>
                </c:pt>
                <c:pt idx="504">
                  <c:v>31.1786060019361</c:v>
                </c:pt>
                <c:pt idx="505">
                  <c:v>30.5550338818974</c:v>
                </c:pt>
                <c:pt idx="506">
                  <c:v>29.9634398192965</c:v>
                </c:pt>
                <c:pt idx="507">
                  <c:v>29.3238786705389</c:v>
                </c:pt>
                <c:pt idx="508">
                  <c:v>28.7162955792191</c:v>
                </c:pt>
                <c:pt idx="509">
                  <c:v>28.0927234591804</c:v>
                </c:pt>
                <c:pt idx="510">
                  <c:v>27.4851403678606</c:v>
                </c:pt>
                <c:pt idx="511">
                  <c:v>26.9095353339787</c:v>
                </c:pt>
                <c:pt idx="512">
                  <c:v>26.3339303000968</c:v>
                </c:pt>
                <c:pt idx="513">
                  <c:v>25.8382704098096</c:v>
                </c:pt>
                <c:pt idx="514">
                  <c:v>25.2786544046467</c:v>
                </c:pt>
                <c:pt idx="515">
                  <c:v>24.7510164569216</c:v>
                </c:pt>
                <c:pt idx="516">
                  <c:v>24.2233785091965</c:v>
                </c:pt>
                <c:pt idx="517">
                  <c:v>23.7437076476283</c:v>
                </c:pt>
                <c:pt idx="518">
                  <c:v>23.1681026137464</c:v>
                </c:pt>
                <c:pt idx="519">
                  <c:v>22.7044207808971</c:v>
                </c:pt>
                <c:pt idx="520">
                  <c:v>22.1927718618909</c:v>
                </c:pt>
                <c:pt idx="521">
                  <c:v>21.7450790577606</c:v>
                </c:pt>
                <c:pt idx="522">
                  <c:v>21.2654081961923</c:v>
                </c:pt>
                <c:pt idx="523">
                  <c:v>20.8337044207809</c:v>
                </c:pt>
                <c:pt idx="524">
                  <c:v>20.4179896740884</c:v>
                </c:pt>
                <c:pt idx="525">
                  <c:v>19.9702968699581</c:v>
                </c:pt>
                <c:pt idx="526">
                  <c:v>19.5705711519845</c:v>
                </c:pt>
                <c:pt idx="527">
                  <c:v>19.1868344627299</c:v>
                </c:pt>
                <c:pt idx="528">
                  <c:v>18.7551306873185</c:v>
                </c:pt>
                <c:pt idx="529">
                  <c:v>18.3713939980639</c:v>
                </c:pt>
                <c:pt idx="530">
                  <c:v>17.9716682800904</c:v>
                </c:pt>
                <c:pt idx="531">
                  <c:v>17.6039206195547</c:v>
                </c:pt>
                <c:pt idx="532">
                  <c:v>17.1722168441433</c:v>
                </c:pt>
                <c:pt idx="533">
                  <c:v>16.8204582123266</c:v>
                </c:pt>
                <c:pt idx="534">
                  <c:v>16.4527105517909</c:v>
                </c:pt>
                <c:pt idx="535">
                  <c:v>16.1009519199742</c:v>
                </c:pt>
                <c:pt idx="536">
                  <c:v>15.7651823168764</c:v>
                </c:pt>
                <c:pt idx="537">
                  <c:v>15.3814456276218</c:v>
                </c:pt>
                <c:pt idx="538">
                  <c:v>15.045676024524</c:v>
                </c:pt>
                <c:pt idx="539">
                  <c:v>14.7258954501452</c:v>
                </c:pt>
                <c:pt idx="540">
                  <c:v>14.3901258470474</c:v>
                </c:pt>
                <c:pt idx="541">
                  <c:v>14.0543562439497</c:v>
                </c:pt>
                <c:pt idx="542">
                  <c:v>13.7345756695708</c:v>
                </c:pt>
                <c:pt idx="543">
                  <c:v>13.414795095192</c:v>
                </c:pt>
                <c:pt idx="544">
                  <c:v>13.14298160697</c:v>
                </c:pt>
                <c:pt idx="545">
                  <c:v>12.6792997741207</c:v>
                </c:pt>
                <c:pt idx="546">
                  <c:v>12.3595191997419</c:v>
                </c:pt>
                <c:pt idx="547">
                  <c:v>12.055727654082</c:v>
                </c:pt>
                <c:pt idx="548">
                  <c:v>11.7999031945789</c:v>
                </c:pt>
                <c:pt idx="549">
                  <c:v>11.5600677637948</c:v>
                </c:pt>
                <c:pt idx="550">
                  <c:v>11.3042433042917</c:v>
                </c:pt>
                <c:pt idx="551">
                  <c:v>11.0484188447886</c:v>
                </c:pt>
                <c:pt idx="552">
                  <c:v>10.7925943852856</c:v>
                </c:pt>
                <c:pt idx="553">
                  <c:v>10.5527589545015</c:v>
                </c:pt>
                <c:pt idx="554">
                  <c:v>10.3608906098742</c:v>
                </c:pt>
                <c:pt idx="555">
                  <c:v>10.1530332365279</c:v>
                </c:pt>
                <c:pt idx="556">
                  <c:v>9.96116489190061</c:v>
                </c:pt>
                <c:pt idx="557">
                  <c:v>9.73731848983543</c:v>
                </c:pt>
                <c:pt idx="558">
                  <c:v>9.51347208777025</c:v>
                </c:pt>
                <c:pt idx="559">
                  <c:v>9.32160374314295</c:v>
                </c:pt>
                <c:pt idx="560">
                  <c:v>9.09775734107777</c:v>
                </c:pt>
                <c:pt idx="561">
                  <c:v>8.90588899645047</c:v>
                </c:pt>
                <c:pt idx="562">
                  <c:v>8.71402065182317</c:v>
                </c:pt>
                <c:pt idx="563">
                  <c:v>8.52215230719587</c:v>
                </c:pt>
                <c:pt idx="564">
                  <c:v>8.36226202000646</c:v>
                </c:pt>
                <c:pt idx="565">
                  <c:v>8.20237173281704</c:v>
                </c:pt>
                <c:pt idx="566">
                  <c:v>8.02649241690868</c:v>
                </c:pt>
                <c:pt idx="567">
                  <c:v>7.86660212971926</c:v>
                </c:pt>
                <c:pt idx="568">
                  <c:v>7.70671184252985</c:v>
                </c:pt>
                <c:pt idx="569">
                  <c:v>7.56281058405937</c:v>
                </c:pt>
                <c:pt idx="570">
                  <c:v>7.38693126815102</c:v>
                </c:pt>
                <c:pt idx="571">
                  <c:v>7.25901903839948</c:v>
                </c:pt>
                <c:pt idx="572">
                  <c:v>7.14709583736689</c:v>
                </c:pt>
                <c:pt idx="573">
                  <c:v>6.98720555017748</c:v>
                </c:pt>
                <c:pt idx="574">
                  <c:v>6.843304291707</c:v>
                </c:pt>
                <c:pt idx="575">
                  <c:v>6.74737011939335</c:v>
                </c:pt>
                <c:pt idx="576">
                  <c:v>6.60346886092288</c:v>
                </c:pt>
                <c:pt idx="577">
                  <c:v>6.50753468860923</c:v>
                </c:pt>
                <c:pt idx="578">
                  <c:v>6.3796224588577</c:v>
                </c:pt>
                <c:pt idx="579">
                  <c:v>6.26769925782511</c:v>
                </c:pt>
                <c:pt idx="580">
                  <c:v>6.17176508551146</c:v>
                </c:pt>
                <c:pt idx="581">
                  <c:v>6.05984188447886</c:v>
                </c:pt>
                <c:pt idx="582">
                  <c:v>5.97989674088416</c:v>
                </c:pt>
                <c:pt idx="583">
                  <c:v>5.86797353985156</c:v>
                </c:pt>
                <c:pt idx="584">
                  <c:v>5.75605033881897</c:v>
                </c:pt>
                <c:pt idx="585">
                  <c:v>5.64412713778638</c:v>
                </c:pt>
                <c:pt idx="586">
                  <c:v>5.53220393675379</c:v>
                </c:pt>
                <c:pt idx="587">
                  <c:v>5.43626976444014</c:v>
                </c:pt>
                <c:pt idx="588">
                  <c:v>5.34033559212649</c:v>
                </c:pt>
                <c:pt idx="589">
                  <c:v>5.29236850596967</c:v>
                </c:pt>
                <c:pt idx="590">
                  <c:v>5.19643433365602</c:v>
                </c:pt>
                <c:pt idx="591">
                  <c:v>5.10050016134237</c:v>
                </c:pt>
                <c:pt idx="592">
                  <c:v>5.0365440464666</c:v>
                </c:pt>
                <c:pt idx="593">
                  <c:v>4.95659890287189</c:v>
                </c:pt>
                <c:pt idx="594">
                  <c:v>4.176</c:v>
                </c:pt>
                <c:pt idx="595">
                  <c:v>4.176</c:v>
                </c:pt>
                <c:pt idx="596">
                  <c:v>4.176</c:v>
                </c:pt>
                <c:pt idx="597">
                  <c:v>4.17466666666667</c:v>
                </c:pt>
                <c:pt idx="598">
                  <c:v>4.17533333333333</c:v>
                </c:pt>
                <c:pt idx="599">
                  <c:v>4.17333333333333</c:v>
                </c:pt>
                <c:pt idx="600">
                  <c:v>4.17266666666667</c:v>
                </c:pt>
                <c:pt idx="601">
                  <c:v>4.172</c:v>
                </c:pt>
                <c:pt idx="602">
                  <c:v>4.172</c:v>
                </c:pt>
                <c:pt idx="603">
                  <c:v>4.172</c:v>
                </c:pt>
                <c:pt idx="604">
                  <c:v>4.172</c:v>
                </c:pt>
                <c:pt idx="605">
                  <c:v>4.172</c:v>
                </c:pt>
                <c:pt idx="606">
                  <c:v>4.172</c:v>
                </c:pt>
                <c:pt idx="607">
                  <c:v>4.172</c:v>
                </c:pt>
                <c:pt idx="608">
                  <c:v>4.17133333333333</c:v>
                </c:pt>
                <c:pt idx="609">
                  <c:v>4.16933333333333</c:v>
                </c:pt>
                <c:pt idx="610">
                  <c:v>4.16866666666667</c:v>
                </c:pt>
                <c:pt idx="611">
                  <c:v>4.168</c:v>
                </c:pt>
                <c:pt idx="612">
                  <c:v>4.168</c:v>
                </c:pt>
                <c:pt idx="613">
                  <c:v>4.168</c:v>
                </c:pt>
                <c:pt idx="614">
                  <c:v>4.168</c:v>
                </c:pt>
                <c:pt idx="615">
                  <c:v>4.168</c:v>
                </c:pt>
                <c:pt idx="616">
                  <c:v>4.168</c:v>
                </c:pt>
                <c:pt idx="617">
                  <c:v>4.166</c:v>
                </c:pt>
                <c:pt idx="618">
                  <c:v>4.16666666666667</c:v>
                </c:pt>
                <c:pt idx="619">
                  <c:v>4.164</c:v>
                </c:pt>
                <c:pt idx="620">
                  <c:v>4.164</c:v>
                </c:pt>
                <c:pt idx="621">
                  <c:v>4.164</c:v>
                </c:pt>
                <c:pt idx="622">
                  <c:v>4.164</c:v>
                </c:pt>
                <c:pt idx="623">
                  <c:v>4.164</c:v>
                </c:pt>
                <c:pt idx="624">
                  <c:v>4.164</c:v>
                </c:pt>
                <c:pt idx="625">
                  <c:v>4.164</c:v>
                </c:pt>
                <c:pt idx="626">
                  <c:v>4.164</c:v>
                </c:pt>
                <c:pt idx="627">
                  <c:v>4.16266666666667</c:v>
                </c:pt>
                <c:pt idx="628">
                  <c:v>4.16266666666667</c:v>
                </c:pt>
                <c:pt idx="629">
                  <c:v>4.16066666666667</c:v>
                </c:pt>
                <c:pt idx="630">
                  <c:v>4.16</c:v>
                </c:pt>
                <c:pt idx="631">
                  <c:v>4.16</c:v>
                </c:pt>
                <c:pt idx="632">
                  <c:v>4.16</c:v>
                </c:pt>
                <c:pt idx="633">
                  <c:v>4.16</c:v>
                </c:pt>
                <c:pt idx="634">
                  <c:v>4.16</c:v>
                </c:pt>
                <c:pt idx="635">
                  <c:v>4.16</c:v>
                </c:pt>
                <c:pt idx="636">
                  <c:v>4.15933333333333</c:v>
                </c:pt>
                <c:pt idx="637">
                  <c:v>4.158</c:v>
                </c:pt>
                <c:pt idx="638">
                  <c:v>4.15733333333333</c:v>
                </c:pt>
                <c:pt idx="639">
                  <c:v>4.156</c:v>
                </c:pt>
                <c:pt idx="640">
                  <c:v>4.156</c:v>
                </c:pt>
                <c:pt idx="641">
                  <c:v>4.156</c:v>
                </c:pt>
                <c:pt idx="642">
                  <c:v>4.156</c:v>
                </c:pt>
                <c:pt idx="643">
                  <c:v>4.156</c:v>
                </c:pt>
                <c:pt idx="644">
                  <c:v>4.156</c:v>
                </c:pt>
                <c:pt idx="645">
                  <c:v>4.15533333333333</c:v>
                </c:pt>
                <c:pt idx="646">
                  <c:v>4.15466666666667</c:v>
                </c:pt>
                <c:pt idx="647">
                  <c:v>4.15333333333333</c:v>
                </c:pt>
                <c:pt idx="648">
                  <c:v>4.152</c:v>
                </c:pt>
                <c:pt idx="649">
                  <c:v>4.152</c:v>
                </c:pt>
                <c:pt idx="650">
                  <c:v>4.152</c:v>
                </c:pt>
                <c:pt idx="651">
                  <c:v>4.152</c:v>
                </c:pt>
                <c:pt idx="652">
                  <c:v>4.152</c:v>
                </c:pt>
                <c:pt idx="653">
                  <c:v>4.152</c:v>
                </c:pt>
                <c:pt idx="654">
                  <c:v>4.15066666666667</c:v>
                </c:pt>
                <c:pt idx="655">
                  <c:v>4.14933333333333</c:v>
                </c:pt>
                <c:pt idx="656">
                  <c:v>4.148</c:v>
                </c:pt>
                <c:pt idx="657">
                  <c:v>4.148</c:v>
                </c:pt>
                <c:pt idx="658">
                  <c:v>4.148</c:v>
                </c:pt>
                <c:pt idx="659">
                  <c:v>4.148</c:v>
                </c:pt>
                <c:pt idx="660">
                  <c:v>4.148</c:v>
                </c:pt>
                <c:pt idx="661">
                  <c:v>4.148</c:v>
                </c:pt>
                <c:pt idx="662">
                  <c:v>4.14733333333333</c:v>
                </c:pt>
                <c:pt idx="663">
                  <c:v>4.148</c:v>
                </c:pt>
                <c:pt idx="664">
                  <c:v>4.14533333333333</c:v>
                </c:pt>
                <c:pt idx="665">
                  <c:v>4.144</c:v>
                </c:pt>
                <c:pt idx="666">
                  <c:v>4.144</c:v>
                </c:pt>
                <c:pt idx="667">
                  <c:v>4.144</c:v>
                </c:pt>
                <c:pt idx="668">
                  <c:v>4.144</c:v>
                </c:pt>
                <c:pt idx="669">
                  <c:v>4.144</c:v>
                </c:pt>
                <c:pt idx="670">
                  <c:v>4.144</c:v>
                </c:pt>
                <c:pt idx="671">
                  <c:v>4.144</c:v>
                </c:pt>
                <c:pt idx="672">
                  <c:v>4.14133333333333</c:v>
                </c:pt>
                <c:pt idx="673">
                  <c:v>4.14</c:v>
                </c:pt>
                <c:pt idx="674">
                  <c:v>4.14</c:v>
                </c:pt>
                <c:pt idx="675">
                  <c:v>4.14</c:v>
                </c:pt>
                <c:pt idx="676">
                  <c:v>4.14</c:v>
                </c:pt>
                <c:pt idx="677">
                  <c:v>4.14</c:v>
                </c:pt>
                <c:pt idx="678">
                  <c:v>4.14</c:v>
                </c:pt>
                <c:pt idx="679">
                  <c:v>4.138</c:v>
                </c:pt>
                <c:pt idx="680">
                  <c:v>4.13666666666667</c:v>
                </c:pt>
                <c:pt idx="681">
                  <c:v>4.136</c:v>
                </c:pt>
                <c:pt idx="682">
                  <c:v>4.136</c:v>
                </c:pt>
                <c:pt idx="683">
                  <c:v>4.136</c:v>
                </c:pt>
                <c:pt idx="684">
                  <c:v>4.136</c:v>
                </c:pt>
                <c:pt idx="685">
                  <c:v>4.136</c:v>
                </c:pt>
                <c:pt idx="686">
                  <c:v>4.134</c:v>
                </c:pt>
                <c:pt idx="687">
                  <c:v>4.132</c:v>
                </c:pt>
                <c:pt idx="688">
                  <c:v>4.132</c:v>
                </c:pt>
                <c:pt idx="689">
                  <c:v>4.132</c:v>
                </c:pt>
                <c:pt idx="690">
                  <c:v>4.132</c:v>
                </c:pt>
                <c:pt idx="691">
                  <c:v>4.132</c:v>
                </c:pt>
                <c:pt idx="692">
                  <c:v>4.13</c:v>
                </c:pt>
                <c:pt idx="693">
                  <c:v>4.128</c:v>
                </c:pt>
                <c:pt idx="694">
                  <c:v>4.128</c:v>
                </c:pt>
                <c:pt idx="695">
                  <c:v>4.128</c:v>
                </c:pt>
                <c:pt idx="696">
                  <c:v>4.128</c:v>
                </c:pt>
                <c:pt idx="697">
                  <c:v>4.12666666666667</c:v>
                </c:pt>
                <c:pt idx="698">
                  <c:v>4.12733333333333</c:v>
                </c:pt>
                <c:pt idx="699">
                  <c:v>4.12466666666667</c:v>
                </c:pt>
                <c:pt idx="700">
                  <c:v>4.124</c:v>
                </c:pt>
                <c:pt idx="701">
                  <c:v>4.124</c:v>
                </c:pt>
                <c:pt idx="702">
                  <c:v>4.12333333333333</c:v>
                </c:pt>
                <c:pt idx="703">
                  <c:v>4.122</c:v>
                </c:pt>
                <c:pt idx="704">
                  <c:v>4.12066666666667</c:v>
                </c:pt>
                <c:pt idx="705">
                  <c:v>4.12</c:v>
                </c:pt>
                <c:pt idx="706">
                  <c:v>4.12</c:v>
                </c:pt>
                <c:pt idx="707">
                  <c:v>4.12</c:v>
                </c:pt>
                <c:pt idx="708">
                  <c:v>4.11866666666667</c:v>
                </c:pt>
                <c:pt idx="709">
                  <c:v>4.116</c:v>
                </c:pt>
                <c:pt idx="710">
                  <c:v>4.11533333333333</c:v>
                </c:pt>
                <c:pt idx="711">
                  <c:v>4.114</c:v>
                </c:pt>
                <c:pt idx="712">
                  <c:v>4.112</c:v>
                </c:pt>
                <c:pt idx="713">
                  <c:v>4.112</c:v>
                </c:pt>
                <c:pt idx="714">
                  <c:v>4.112</c:v>
                </c:pt>
                <c:pt idx="715">
                  <c:v>4.10866666666667</c:v>
                </c:pt>
                <c:pt idx="716">
                  <c:v>4.108</c:v>
                </c:pt>
                <c:pt idx="717">
                  <c:v>4.108</c:v>
                </c:pt>
                <c:pt idx="718">
                  <c:v>4.106</c:v>
                </c:pt>
                <c:pt idx="719">
                  <c:v>4.104</c:v>
                </c:pt>
                <c:pt idx="720">
                  <c:v>4.104</c:v>
                </c:pt>
                <c:pt idx="721">
                  <c:v>4.1</c:v>
                </c:pt>
                <c:pt idx="722">
                  <c:v>4.1</c:v>
                </c:pt>
                <c:pt idx="723">
                  <c:v>4.1</c:v>
                </c:pt>
                <c:pt idx="724">
                  <c:v>4.096</c:v>
                </c:pt>
                <c:pt idx="725">
                  <c:v>4.096</c:v>
                </c:pt>
                <c:pt idx="726">
                  <c:v>4.09266666666667</c:v>
                </c:pt>
                <c:pt idx="727">
                  <c:v>4.092</c:v>
                </c:pt>
                <c:pt idx="728">
                  <c:v>4.08866666666667</c:v>
                </c:pt>
                <c:pt idx="729">
                  <c:v>4.088</c:v>
                </c:pt>
                <c:pt idx="730">
                  <c:v>4.08533333333333</c:v>
                </c:pt>
                <c:pt idx="731">
                  <c:v>4.084</c:v>
                </c:pt>
                <c:pt idx="732">
                  <c:v>4.08133333333333</c:v>
                </c:pt>
                <c:pt idx="733">
                  <c:v>4.08</c:v>
                </c:pt>
                <c:pt idx="734">
                  <c:v>4.076</c:v>
                </c:pt>
                <c:pt idx="735">
                  <c:v>4.07466666666667</c:v>
                </c:pt>
                <c:pt idx="736">
                  <c:v>4.07266666666667</c:v>
                </c:pt>
                <c:pt idx="737">
                  <c:v>4.07</c:v>
                </c:pt>
                <c:pt idx="738">
                  <c:v>4.068</c:v>
                </c:pt>
                <c:pt idx="739">
                  <c:v>4.06533333333333</c:v>
                </c:pt>
                <c:pt idx="740">
                  <c:v>4.064</c:v>
                </c:pt>
                <c:pt idx="741">
                  <c:v>4.06133333333333</c:v>
                </c:pt>
                <c:pt idx="742">
                  <c:v>4.058</c:v>
                </c:pt>
                <c:pt idx="743">
                  <c:v>4.056</c:v>
                </c:pt>
                <c:pt idx="744">
                  <c:v>4.052</c:v>
                </c:pt>
                <c:pt idx="745">
                  <c:v>4.052</c:v>
                </c:pt>
                <c:pt idx="746">
                  <c:v>4.048</c:v>
                </c:pt>
                <c:pt idx="747">
                  <c:v>4.04466666666667</c:v>
                </c:pt>
                <c:pt idx="748">
                  <c:v>4.04333333333333</c:v>
                </c:pt>
                <c:pt idx="749">
                  <c:v>4.04</c:v>
                </c:pt>
                <c:pt idx="750">
                  <c:v>4.03666666666667</c:v>
                </c:pt>
                <c:pt idx="751">
                  <c:v>4.036</c:v>
                </c:pt>
                <c:pt idx="752">
                  <c:v>4.032</c:v>
                </c:pt>
                <c:pt idx="753">
                  <c:v>4.03066666666667</c:v>
                </c:pt>
                <c:pt idx="754">
                  <c:v>4.02733333333333</c:v>
                </c:pt>
                <c:pt idx="755">
                  <c:v>4.02466666666667</c:v>
                </c:pt>
                <c:pt idx="756">
                  <c:v>4.02333333333333</c:v>
                </c:pt>
                <c:pt idx="757">
                  <c:v>4.02</c:v>
                </c:pt>
                <c:pt idx="758">
                  <c:v>4.01733333333333</c:v>
                </c:pt>
                <c:pt idx="759">
                  <c:v>4.016</c:v>
                </c:pt>
                <c:pt idx="760">
                  <c:v>4.012</c:v>
                </c:pt>
                <c:pt idx="761">
                  <c:v>4.01</c:v>
                </c:pt>
                <c:pt idx="762">
                  <c:v>4.00733333333333</c:v>
                </c:pt>
                <c:pt idx="763">
                  <c:v>4.004</c:v>
                </c:pt>
                <c:pt idx="764">
                  <c:v>4.00066666666667</c:v>
                </c:pt>
                <c:pt idx="765">
                  <c:v>3.99866666666667</c:v>
                </c:pt>
                <c:pt idx="766">
                  <c:v>3.996</c:v>
                </c:pt>
                <c:pt idx="767">
                  <c:v>3.99333333333333</c:v>
                </c:pt>
                <c:pt idx="768">
                  <c:v>3.98866666666667</c:v>
                </c:pt>
                <c:pt idx="769">
                  <c:v>3.98666666666667</c:v>
                </c:pt>
                <c:pt idx="770">
                  <c:v>3.984</c:v>
                </c:pt>
                <c:pt idx="771">
                  <c:v>3.98066666666667</c:v>
                </c:pt>
                <c:pt idx="772">
                  <c:v>3.97666666666667</c:v>
                </c:pt>
                <c:pt idx="773">
                  <c:v>3.97466666666667</c:v>
                </c:pt>
                <c:pt idx="774">
                  <c:v>3.97133333333333</c:v>
                </c:pt>
                <c:pt idx="775">
                  <c:v>3.96866666666667</c:v>
                </c:pt>
                <c:pt idx="776">
                  <c:v>3.96533333333333</c:v>
                </c:pt>
                <c:pt idx="777">
                  <c:v>3.964</c:v>
                </c:pt>
                <c:pt idx="778">
                  <c:v>3.95933333333333</c:v>
                </c:pt>
                <c:pt idx="779">
                  <c:v>3.958</c:v>
                </c:pt>
                <c:pt idx="780">
                  <c:v>3.95466666666667</c:v>
                </c:pt>
                <c:pt idx="781">
                  <c:v>3.95133333333333</c:v>
                </c:pt>
                <c:pt idx="782">
                  <c:v>3.948</c:v>
                </c:pt>
                <c:pt idx="783">
                  <c:v>3.94533333333333</c:v>
                </c:pt>
                <c:pt idx="784">
                  <c:v>3.94266666666667</c:v>
                </c:pt>
                <c:pt idx="785">
                  <c:v>3.94</c:v>
                </c:pt>
                <c:pt idx="786">
                  <c:v>3.93666666666667</c:v>
                </c:pt>
                <c:pt idx="787">
                  <c:v>3.93266666666667</c:v>
                </c:pt>
                <c:pt idx="788">
                  <c:v>3.93</c:v>
                </c:pt>
                <c:pt idx="789">
                  <c:v>3.92666666666667</c:v>
                </c:pt>
                <c:pt idx="790">
                  <c:v>3.92466666666667</c:v>
                </c:pt>
                <c:pt idx="791">
                  <c:v>3.92066666666667</c:v>
                </c:pt>
                <c:pt idx="792">
                  <c:v>3.91666666666667</c:v>
                </c:pt>
                <c:pt idx="793">
                  <c:v>3.914</c:v>
                </c:pt>
                <c:pt idx="794">
                  <c:v>3.912</c:v>
                </c:pt>
                <c:pt idx="795">
                  <c:v>3.908</c:v>
                </c:pt>
                <c:pt idx="796">
                  <c:v>3.90666666666667</c:v>
                </c:pt>
                <c:pt idx="797">
                  <c:v>3.90333333333333</c:v>
                </c:pt>
                <c:pt idx="798">
                  <c:v>3.9</c:v>
                </c:pt>
                <c:pt idx="799">
                  <c:v>3.89666666666667</c:v>
                </c:pt>
                <c:pt idx="800">
                  <c:v>3.89266666666667</c:v>
                </c:pt>
                <c:pt idx="801">
                  <c:v>3.89133333333333</c:v>
                </c:pt>
                <c:pt idx="802">
                  <c:v>3.888</c:v>
                </c:pt>
                <c:pt idx="803">
                  <c:v>3.884</c:v>
                </c:pt>
                <c:pt idx="804">
                  <c:v>3.88266666666667</c:v>
                </c:pt>
                <c:pt idx="805">
                  <c:v>3.87933333333333</c:v>
                </c:pt>
                <c:pt idx="806">
                  <c:v>3.87533333333333</c:v>
                </c:pt>
                <c:pt idx="807">
                  <c:v>3.874</c:v>
                </c:pt>
                <c:pt idx="808">
                  <c:v>3.87066666666667</c:v>
                </c:pt>
                <c:pt idx="809">
                  <c:v>3.86733333333333</c:v>
                </c:pt>
                <c:pt idx="810">
                  <c:v>3.866</c:v>
                </c:pt>
                <c:pt idx="811">
                  <c:v>3.86266666666667</c:v>
                </c:pt>
                <c:pt idx="812">
                  <c:v>3.85933333333333</c:v>
                </c:pt>
                <c:pt idx="813">
                  <c:v>3.85666666666667</c:v>
                </c:pt>
                <c:pt idx="814">
                  <c:v>3.85466666666667</c:v>
                </c:pt>
                <c:pt idx="815">
                  <c:v>3.85133333333333</c:v>
                </c:pt>
                <c:pt idx="816">
                  <c:v>3.848</c:v>
                </c:pt>
                <c:pt idx="817">
                  <c:v>3.84466666666667</c:v>
                </c:pt>
                <c:pt idx="818">
                  <c:v>3.84266666666667</c:v>
                </c:pt>
                <c:pt idx="819">
                  <c:v>3.83933333333333</c:v>
                </c:pt>
                <c:pt idx="820">
                  <c:v>3.83666666666667</c:v>
                </c:pt>
                <c:pt idx="821">
                  <c:v>3.83533333333333</c:v>
                </c:pt>
                <c:pt idx="822">
                  <c:v>3.83133333333333</c:v>
                </c:pt>
                <c:pt idx="823">
                  <c:v>3.83</c:v>
                </c:pt>
                <c:pt idx="824">
                  <c:v>3.82733333333333</c:v>
                </c:pt>
                <c:pt idx="825">
                  <c:v>3.824</c:v>
                </c:pt>
                <c:pt idx="826">
                  <c:v>3.82266666666667</c:v>
                </c:pt>
                <c:pt idx="827">
                  <c:v>3.82</c:v>
                </c:pt>
                <c:pt idx="828">
                  <c:v>3.81733333333333</c:v>
                </c:pt>
                <c:pt idx="829">
                  <c:v>3.81533333333333</c:v>
                </c:pt>
                <c:pt idx="830">
                  <c:v>3.814</c:v>
                </c:pt>
                <c:pt idx="831">
                  <c:v>3.81133333333333</c:v>
                </c:pt>
                <c:pt idx="832">
                  <c:v>3.80866666666667</c:v>
                </c:pt>
                <c:pt idx="833">
                  <c:v>3.808</c:v>
                </c:pt>
                <c:pt idx="834">
                  <c:v>3.80466666666667</c:v>
                </c:pt>
                <c:pt idx="835">
                  <c:v>3.80333333333333</c:v>
                </c:pt>
                <c:pt idx="836">
                  <c:v>3.802</c:v>
                </c:pt>
                <c:pt idx="837">
                  <c:v>3.8</c:v>
                </c:pt>
                <c:pt idx="838">
                  <c:v>3.79933333333333</c:v>
                </c:pt>
                <c:pt idx="839">
                  <c:v>3.79733333333333</c:v>
                </c:pt>
                <c:pt idx="840">
                  <c:v>3.79533333333333</c:v>
                </c:pt>
                <c:pt idx="841">
                  <c:v>3.79533333333333</c:v>
                </c:pt>
                <c:pt idx="842">
                  <c:v>3.79333333333333</c:v>
                </c:pt>
                <c:pt idx="843">
                  <c:v>3.79133333333333</c:v>
                </c:pt>
                <c:pt idx="844">
                  <c:v>3.792</c:v>
                </c:pt>
                <c:pt idx="845">
                  <c:v>3.79</c:v>
                </c:pt>
                <c:pt idx="846">
                  <c:v>3.78866666666667</c:v>
                </c:pt>
                <c:pt idx="847">
                  <c:v>3.788</c:v>
                </c:pt>
                <c:pt idx="848">
                  <c:v>3.78733333333333</c:v>
                </c:pt>
                <c:pt idx="849">
                  <c:v>3.78533333333333</c:v>
                </c:pt>
                <c:pt idx="850">
                  <c:v>3.784</c:v>
                </c:pt>
                <c:pt idx="851">
                  <c:v>3.784</c:v>
                </c:pt>
                <c:pt idx="852">
                  <c:v>3.78333333333333</c:v>
                </c:pt>
                <c:pt idx="853">
                  <c:v>3.78266666666667</c:v>
                </c:pt>
                <c:pt idx="854">
                  <c:v>3.78</c:v>
                </c:pt>
                <c:pt idx="855">
                  <c:v>3.77933333333333</c:v>
                </c:pt>
                <c:pt idx="856">
                  <c:v>3.78</c:v>
                </c:pt>
                <c:pt idx="857">
                  <c:v>3.77933333333333</c:v>
                </c:pt>
                <c:pt idx="858">
                  <c:v>3.77866666666667</c:v>
                </c:pt>
                <c:pt idx="859">
                  <c:v>3.77666666666667</c:v>
                </c:pt>
                <c:pt idx="860">
                  <c:v>3.776</c:v>
                </c:pt>
                <c:pt idx="861">
                  <c:v>3.776</c:v>
                </c:pt>
                <c:pt idx="862">
                  <c:v>3.776</c:v>
                </c:pt>
                <c:pt idx="863">
                  <c:v>3.776</c:v>
                </c:pt>
                <c:pt idx="864">
                  <c:v>3.77466666666667</c:v>
                </c:pt>
                <c:pt idx="865">
                  <c:v>3.77533333333333</c:v>
                </c:pt>
                <c:pt idx="866">
                  <c:v>3.776</c:v>
                </c:pt>
                <c:pt idx="867">
                  <c:v>3.774</c:v>
                </c:pt>
                <c:pt idx="868">
                  <c:v>3.77466666666667</c:v>
                </c:pt>
                <c:pt idx="869">
                  <c:v>3.774</c:v>
                </c:pt>
                <c:pt idx="870">
                  <c:v>3.77266666666667</c:v>
                </c:pt>
                <c:pt idx="871">
                  <c:v>3.77266666666667</c:v>
                </c:pt>
                <c:pt idx="872">
                  <c:v>3.772</c:v>
                </c:pt>
                <c:pt idx="873">
                  <c:v>3.77333333333333</c:v>
                </c:pt>
                <c:pt idx="874">
                  <c:v>3.772</c:v>
                </c:pt>
                <c:pt idx="875">
                  <c:v>3.77266666666667</c:v>
                </c:pt>
                <c:pt idx="876">
                  <c:v>3.77333333333333</c:v>
                </c:pt>
                <c:pt idx="877">
                  <c:v>3.774</c:v>
                </c:pt>
                <c:pt idx="878">
                  <c:v>3.77466666666667</c:v>
                </c:pt>
                <c:pt idx="879">
                  <c:v>3.77466666666667</c:v>
                </c:pt>
                <c:pt idx="880">
                  <c:v>3.774</c:v>
                </c:pt>
                <c:pt idx="881">
                  <c:v>3.77533333333333</c:v>
                </c:pt>
                <c:pt idx="882">
                  <c:v>3.776</c:v>
                </c:pt>
                <c:pt idx="883">
                  <c:v>3.776</c:v>
                </c:pt>
                <c:pt idx="884">
                  <c:v>3.776</c:v>
                </c:pt>
                <c:pt idx="885">
                  <c:v>3.776</c:v>
                </c:pt>
                <c:pt idx="886">
                  <c:v>3.776</c:v>
                </c:pt>
                <c:pt idx="887">
                  <c:v>3.776</c:v>
                </c:pt>
                <c:pt idx="888">
                  <c:v>3.77733333333333</c:v>
                </c:pt>
                <c:pt idx="889">
                  <c:v>3.77866666666667</c:v>
                </c:pt>
                <c:pt idx="890">
                  <c:v>3.77866666666667</c:v>
                </c:pt>
                <c:pt idx="891">
                  <c:v>-23.8333333333333</c:v>
                </c:pt>
                <c:pt idx="892">
                  <c:v>-23.8333333333333</c:v>
                </c:pt>
                <c:pt idx="893">
                  <c:v>-24.5</c:v>
                </c:pt>
                <c:pt idx="894">
                  <c:v>-25</c:v>
                </c:pt>
                <c:pt idx="895">
                  <c:v>-24</c:v>
                </c:pt>
                <c:pt idx="896">
                  <c:v>-23.8333333333333</c:v>
                </c:pt>
                <c:pt idx="897">
                  <c:v>-24.1666666666667</c:v>
                </c:pt>
                <c:pt idx="898">
                  <c:v>-23.8333333333333</c:v>
                </c:pt>
                <c:pt idx="899">
                  <c:v>-24</c:v>
                </c:pt>
                <c:pt idx="900">
                  <c:v>-24.1666666666667</c:v>
                </c:pt>
                <c:pt idx="901">
                  <c:v>-24.3333333333333</c:v>
                </c:pt>
                <c:pt idx="902">
                  <c:v>-24.5</c:v>
                </c:pt>
                <c:pt idx="903">
                  <c:v>-24.1666666666667</c:v>
                </c:pt>
                <c:pt idx="904">
                  <c:v>-24.3333333333333</c:v>
                </c:pt>
                <c:pt idx="905">
                  <c:v>-24</c:v>
                </c:pt>
                <c:pt idx="906">
                  <c:v>-24.1666666666667</c:v>
                </c:pt>
                <c:pt idx="907">
                  <c:v>-23.8333333333333</c:v>
                </c:pt>
                <c:pt idx="908">
                  <c:v>-24</c:v>
                </c:pt>
                <c:pt idx="909">
                  <c:v>-23.6666666666667</c:v>
                </c:pt>
                <c:pt idx="910">
                  <c:v>-24.1666666666667</c:v>
                </c:pt>
                <c:pt idx="911">
                  <c:v>-23.8333333333333</c:v>
                </c:pt>
                <c:pt idx="912">
                  <c:v>-24.1666666666667</c:v>
                </c:pt>
                <c:pt idx="913">
                  <c:v>-24</c:v>
                </c:pt>
                <c:pt idx="914">
                  <c:v>-24</c:v>
                </c:pt>
                <c:pt idx="915">
                  <c:v>-23.6666666666667</c:v>
                </c:pt>
                <c:pt idx="916">
                  <c:v>-23.8333333333333</c:v>
                </c:pt>
                <c:pt idx="917">
                  <c:v>-24</c:v>
                </c:pt>
                <c:pt idx="918">
                  <c:v>-23.5</c:v>
                </c:pt>
                <c:pt idx="919">
                  <c:v>-24.1666666666667</c:v>
                </c:pt>
                <c:pt idx="920">
                  <c:v>-24</c:v>
                </c:pt>
                <c:pt idx="921">
                  <c:v>-24.1666666666667</c:v>
                </c:pt>
                <c:pt idx="922">
                  <c:v>-23.6666666666667</c:v>
                </c:pt>
                <c:pt idx="923">
                  <c:v>-24.3333333333333</c:v>
                </c:pt>
                <c:pt idx="924">
                  <c:v>-24.3333333333333</c:v>
                </c:pt>
                <c:pt idx="925">
                  <c:v>-23</c:v>
                </c:pt>
                <c:pt idx="926">
                  <c:v>-23.3333333333333</c:v>
                </c:pt>
                <c:pt idx="927">
                  <c:v>-23.8333333333333</c:v>
                </c:pt>
                <c:pt idx="928">
                  <c:v>-23.8333333333333</c:v>
                </c:pt>
                <c:pt idx="929">
                  <c:v>-24</c:v>
                </c:pt>
                <c:pt idx="930">
                  <c:v>-23.6666666666667</c:v>
                </c:pt>
                <c:pt idx="931">
                  <c:v>-23.1666666666667</c:v>
                </c:pt>
                <c:pt idx="932">
                  <c:v>-24.6666666666667</c:v>
                </c:pt>
                <c:pt idx="933">
                  <c:v>-23.6666666666667</c:v>
                </c:pt>
                <c:pt idx="934">
                  <c:v>-23.8333333333333</c:v>
                </c:pt>
                <c:pt idx="935">
                  <c:v>-24</c:v>
                </c:pt>
                <c:pt idx="936">
                  <c:v>-23.3333333333333</c:v>
                </c:pt>
                <c:pt idx="937">
                  <c:v>-23.8333333333333</c:v>
                </c:pt>
                <c:pt idx="938">
                  <c:v>-23.6666666666667</c:v>
                </c:pt>
                <c:pt idx="939">
                  <c:v>-24.1666666666667</c:v>
                </c:pt>
                <c:pt idx="940">
                  <c:v>-23.1666666666667</c:v>
                </c:pt>
                <c:pt idx="941">
                  <c:v>-23.5</c:v>
                </c:pt>
                <c:pt idx="942">
                  <c:v>-23.1666666666667</c:v>
                </c:pt>
                <c:pt idx="943">
                  <c:v>-23.8333333333333</c:v>
                </c:pt>
                <c:pt idx="944">
                  <c:v>-23.6666666666667</c:v>
                </c:pt>
                <c:pt idx="945">
                  <c:v>-23.5</c:v>
                </c:pt>
                <c:pt idx="946">
                  <c:v>-23.5</c:v>
                </c:pt>
                <c:pt idx="947">
                  <c:v>-23.6666666666667</c:v>
                </c:pt>
                <c:pt idx="948">
                  <c:v>-23.6666666666667</c:v>
                </c:pt>
                <c:pt idx="949">
                  <c:v>-23.5</c:v>
                </c:pt>
                <c:pt idx="950">
                  <c:v>-23.8333333333333</c:v>
                </c:pt>
                <c:pt idx="951">
                  <c:v>-23.3333333333333</c:v>
                </c:pt>
                <c:pt idx="952">
                  <c:v>-23.1666666666667</c:v>
                </c:pt>
                <c:pt idx="953">
                  <c:v>-23.6666666666667</c:v>
                </c:pt>
                <c:pt idx="954">
                  <c:v>-23</c:v>
                </c:pt>
                <c:pt idx="955">
                  <c:v>-23.3333333333333</c:v>
                </c:pt>
                <c:pt idx="956">
                  <c:v>-24</c:v>
                </c:pt>
                <c:pt idx="957">
                  <c:v>-24</c:v>
                </c:pt>
                <c:pt idx="958">
                  <c:v>-24.1666666666667</c:v>
                </c:pt>
                <c:pt idx="959">
                  <c:v>-23.3333333333333</c:v>
                </c:pt>
                <c:pt idx="960">
                  <c:v>-23</c:v>
                </c:pt>
                <c:pt idx="961">
                  <c:v>-23.6666666666667</c:v>
                </c:pt>
                <c:pt idx="962">
                  <c:v>-23.3333333333333</c:v>
                </c:pt>
                <c:pt idx="963">
                  <c:v>-23.1666666666667</c:v>
                </c:pt>
                <c:pt idx="964">
                  <c:v>-23</c:v>
                </c:pt>
                <c:pt idx="965">
                  <c:v>-23.6666666666667</c:v>
                </c:pt>
                <c:pt idx="966">
                  <c:v>-23.3333333333333</c:v>
                </c:pt>
                <c:pt idx="967">
                  <c:v>-23.3333333333333</c:v>
                </c:pt>
                <c:pt idx="968">
                  <c:v>-23.5</c:v>
                </c:pt>
                <c:pt idx="969">
                  <c:v>-23.1666666666667</c:v>
                </c:pt>
                <c:pt idx="970">
                  <c:v>-23.1666666666667</c:v>
                </c:pt>
                <c:pt idx="971">
                  <c:v>-22.8333333333333</c:v>
                </c:pt>
                <c:pt idx="972">
                  <c:v>-23.6666666666667</c:v>
                </c:pt>
                <c:pt idx="973">
                  <c:v>-23.5</c:v>
                </c:pt>
                <c:pt idx="974">
                  <c:v>-23.5</c:v>
                </c:pt>
                <c:pt idx="975">
                  <c:v>-23</c:v>
                </c:pt>
                <c:pt idx="976">
                  <c:v>-22.8333333333333</c:v>
                </c:pt>
                <c:pt idx="977">
                  <c:v>-23.1666666666667</c:v>
                </c:pt>
                <c:pt idx="978">
                  <c:v>-23.5</c:v>
                </c:pt>
                <c:pt idx="979">
                  <c:v>-22.6666666666667</c:v>
                </c:pt>
                <c:pt idx="980">
                  <c:v>-23.3333333333333</c:v>
                </c:pt>
                <c:pt idx="981">
                  <c:v>-22.5</c:v>
                </c:pt>
                <c:pt idx="982">
                  <c:v>-24</c:v>
                </c:pt>
                <c:pt idx="983">
                  <c:v>-22.1666666666667</c:v>
                </c:pt>
                <c:pt idx="984">
                  <c:v>-22.6666666666667</c:v>
                </c:pt>
                <c:pt idx="985">
                  <c:v>-24</c:v>
                </c:pt>
                <c:pt idx="986">
                  <c:v>-23.6666666666667</c:v>
                </c:pt>
                <c:pt idx="987">
                  <c:v>-22.3333333333333</c:v>
                </c:pt>
                <c:pt idx="988">
                  <c:v>-22.1666666666667</c:v>
                </c:pt>
                <c:pt idx="989">
                  <c:v>-22</c:v>
                </c:pt>
                <c:pt idx="990">
                  <c:v>-22.1666666666667</c:v>
                </c:pt>
                <c:pt idx="991">
                  <c:v>-23.1666666666667</c:v>
                </c:pt>
                <c:pt idx="992">
                  <c:v>-24.3333333333333</c:v>
                </c:pt>
                <c:pt idx="993">
                  <c:v>-22.6666666666667</c:v>
                </c:pt>
                <c:pt idx="994">
                  <c:v>-22.3333333333333</c:v>
                </c:pt>
                <c:pt idx="995">
                  <c:v>-23.6666666666667</c:v>
                </c:pt>
                <c:pt idx="996">
                  <c:v>-22.3333333333333</c:v>
                </c:pt>
                <c:pt idx="997">
                  <c:v>-23.5</c:v>
                </c:pt>
                <c:pt idx="998">
                  <c:v>-22.1666666666667</c:v>
                </c:pt>
                <c:pt idx="999">
                  <c:v>-23.5</c:v>
                </c:pt>
                <c:pt idx="1000">
                  <c:v>-23</c:v>
                </c:pt>
                <c:pt idx="1001">
                  <c:v>-23.1666666666667</c:v>
                </c:pt>
                <c:pt idx="1002">
                  <c:v>-22.5</c:v>
                </c:pt>
                <c:pt idx="1003">
                  <c:v>-22.6666666666667</c:v>
                </c:pt>
                <c:pt idx="1004">
                  <c:v>-22.5</c:v>
                </c:pt>
                <c:pt idx="1005">
                  <c:v>-23.5</c:v>
                </c:pt>
                <c:pt idx="1006">
                  <c:v>-23</c:v>
                </c:pt>
                <c:pt idx="1007">
                  <c:v>-23.3333333333333</c:v>
                </c:pt>
                <c:pt idx="1008">
                  <c:v>-23.1666666666667</c:v>
                </c:pt>
                <c:pt idx="1009">
                  <c:v>-23.3333333333333</c:v>
                </c:pt>
                <c:pt idx="1010">
                  <c:v>-23.1666666666667</c:v>
                </c:pt>
                <c:pt idx="1011">
                  <c:v>-23.3333333333333</c:v>
                </c:pt>
                <c:pt idx="1012">
                  <c:v>-23.3333333333333</c:v>
                </c:pt>
                <c:pt idx="1013">
                  <c:v>-23.6666666666667</c:v>
                </c:pt>
                <c:pt idx="1014">
                  <c:v>-23.5</c:v>
                </c:pt>
                <c:pt idx="1015">
                  <c:v>-24</c:v>
                </c:pt>
                <c:pt idx="1016">
                  <c:v>-23.8333333333333</c:v>
                </c:pt>
                <c:pt idx="1017">
                  <c:v>-23.6666666666667</c:v>
                </c:pt>
                <c:pt idx="1018">
                  <c:v>-24.5</c:v>
                </c:pt>
                <c:pt idx="1019">
                  <c:v>-23.3333333333333</c:v>
                </c:pt>
                <c:pt idx="1020">
                  <c:v>-24.1666666666667</c:v>
                </c:pt>
                <c:pt idx="1021">
                  <c:v>-24.5</c:v>
                </c:pt>
                <c:pt idx="1022">
                  <c:v>-23.8333333333333</c:v>
                </c:pt>
                <c:pt idx="1023">
                  <c:v>-24.5</c:v>
                </c:pt>
                <c:pt idx="1024">
                  <c:v>-23.6666666666667</c:v>
                </c:pt>
                <c:pt idx="1025">
                  <c:v>-24.1666666666667</c:v>
                </c:pt>
                <c:pt idx="1026">
                  <c:v>-25</c:v>
                </c:pt>
                <c:pt idx="1027">
                  <c:v>-24.1666666666667</c:v>
                </c:pt>
                <c:pt idx="1028">
                  <c:v>-24.3333333333333</c:v>
                </c:pt>
                <c:pt idx="1029">
                  <c:v>-24.5</c:v>
                </c:pt>
                <c:pt idx="1030">
                  <c:v>-24</c:v>
                </c:pt>
                <c:pt idx="1031">
                  <c:v>-24.5</c:v>
                </c:pt>
                <c:pt idx="1032">
                  <c:v>-25.5</c:v>
                </c:pt>
                <c:pt idx="1033">
                  <c:v>-24.5</c:v>
                </c:pt>
                <c:pt idx="1034">
                  <c:v>-24</c:v>
                </c:pt>
                <c:pt idx="1035">
                  <c:v>-24</c:v>
                </c:pt>
                <c:pt idx="1036">
                  <c:v>-24.1666666666667</c:v>
                </c:pt>
                <c:pt idx="1037">
                  <c:v>-25.5</c:v>
                </c:pt>
                <c:pt idx="1038">
                  <c:v>-25</c:v>
                </c:pt>
                <c:pt idx="1039">
                  <c:v>-24.6666666666667</c:v>
                </c:pt>
                <c:pt idx="1040">
                  <c:v>-24.8333333333333</c:v>
                </c:pt>
                <c:pt idx="1041">
                  <c:v>-24.6666666666667</c:v>
                </c:pt>
                <c:pt idx="1042">
                  <c:v>-24.8333333333333</c:v>
                </c:pt>
                <c:pt idx="1043">
                  <c:v>-24.6666666666667</c:v>
                </c:pt>
                <c:pt idx="1044">
                  <c:v>-24.6666666666667</c:v>
                </c:pt>
                <c:pt idx="1045">
                  <c:v>-25</c:v>
                </c:pt>
                <c:pt idx="1046">
                  <c:v>-25</c:v>
                </c:pt>
                <c:pt idx="1047">
                  <c:v>-24.3333333333333</c:v>
                </c:pt>
                <c:pt idx="1048">
                  <c:v>-25.1666666666667</c:v>
                </c:pt>
                <c:pt idx="1049">
                  <c:v>-24.3333333333333</c:v>
                </c:pt>
                <c:pt idx="1050">
                  <c:v>-24.3333333333333</c:v>
                </c:pt>
                <c:pt idx="1051">
                  <c:v>-25</c:v>
                </c:pt>
                <c:pt idx="1052">
                  <c:v>-24</c:v>
                </c:pt>
                <c:pt idx="1053">
                  <c:v>-24.3333333333333</c:v>
                </c:pt>
                <c:pt idx="1054">
                  <c:v>-24.1666666666667</c:v>
                </c:pt>
                <c:pt idx="1055">
                  <c:v>-24</c:v>
                </c:pt>
                <c:pt idx="1056">
                  <c:v>-23.8333333333333</c:v>
                </c:pt>
                <c:pt idx="1057">
                  <c:v>-24.3333333333333</c:v>
                </c:pt>
                <c:pt idx="1058">
                  <c:v>-24.5</c:v>
                </c:pt>
                <c:pt idx="1059">
                  <c:v>-23.6666666666667</c:v>
                </c:pt>
                <c:pt idx="1060">
                  <c:v>-23.6666666666667</c:v>
                </c:pt>
                <c:pt idx="1061">
                  <c:v>-24.1666666666667</c:v>
                </c:pt>
                <c:pt idx="1062">
                  <c:v>-23.6666666666667</c:v>
                </c:pt>
                <c:pt idx="1063">
                  <c:v>-24</c:v>
                </c:pt>
                <c:pt idx="1064">
                  <c:v>-23.5</c:v>
                </c:pt>
                <c:pt idx="1065">
                  <c:v>-23.6666666666667</c:v>
                </c:pt>
                <c:pt idx="1066">
                  <c:v>-24.3333333333333</c:v>
                </c:pt>
                <c:pt idx="1067">
                  <c:v>-23.3333333333333</c:v>
                </c:pt>
                <c:pt idx="1068">
                  <c:v>-24</c:v>
                </c:pt>
                <c:pt idx="1069">
                  <c:v>-24</c:v>
                </c:pt>
                <c:pt idx="1070">
                  <c:v>-24.3333333333333</c:v>
                </c:pt>
                <c:pt idx="1071">
                  <c:v>-23.6666666666667</c:v>
                </c:pt>
                <c:pt idx="1072">
                  <c:v>-24</c:v>
                </c:pt>
                <c:pt idx="1073">
                  <c:v>-23.5</c:v>
                </c:pt>
                <c:pt idx="1074">
                  <c:v>-23.8333333333333</c:v>
                </c:pt>
                <c:pt idx="1075">
                  <c:v>-23</c:v>
                </c:pt>
                <c:pt idx="1076">
                  <c:v>-23.6666666666667</c:v>
                </c:pt>
                <c:pt idx="1077">
                  <c:v>-22.8333333333333</c:v>
                </c:pt>
                <c:pt idx="1078">
                  <c:v>-23.3333333333333</c:v>
                </c:pt>
                <c:pt idx="1079">
                  <c:v>-23.6666666666667</c:v>
                </c:pt>
                <c:pt idx="1080">
                  <c:v>-23.8333333333333</c:v>
                </c:pt>
                <c:pt idx="1081">
                  <c:v>-22.6666666666667</c:v>
                </c:pt>
                <c:pt idx="1082">
                  <c:v>-23.5</c:v>
                </c:pt>
                <c:pt idx="1083">
                  <c:v>-24</c:v>
                </c:pt>
                <c:pt idx="1084">
                  <c:v>-23.8333333333333</c:v>
                </c:pt>
                <c:pt idx="1085">
                  <c:v>-23.5</c:v>
                </c:pt>
                <c:pt idx="1086">
                  <c:v>-23.5</c:v>
                </c:pt>
                <c:pt idx="1087">
                  <c:v>-23.6666666666667</c:v>
                </c:pt>
                <c:pt idx="1088">
                  <c:v>-24.1666666666667</c:v>
                </c:pt>
                <c:pt idx="1089">
                  <c:v>-23.3333333333333</c:v>
                </c:pt>
                <c:pt idx="1090">
                  <c:v>-23</c:v>
                </c:pt>
                <c:pt idx="1091">
                  <c:v>-23.3333333333333</c:v>
                </c:pt>
                <c:pt idx="1092">
                  <c:v>-23.6666666666667</c:v>
                </c:pt>
                <c:pt idx="1093">
                  <c:v>-23.1666666666667</c:v>
                </c:pt>
                <c:pt idx="1094">
                  <c:v>-23.3333333333333</c:v>
                </c:pt>
                <c:pt idx="1095">
                  <c:v>-23.3333333333333</c:v>
                </c:pt>
                <c:pt idx="1096">
                  <c:v>-23.5</c:v>
                </c:pt>
                <c:pt idx="1097">
                  <c:v>-23.3333333333333</c:v>
                </c:pt>
                <c:pt idx="1098">
                  <c:v>-23.8333333333333</c:v>
                </c:pt>
                <c:pt idx="1099">
                  <c:v>-24</c:v>
                </c:pt>
                <c:pt idx="1100">
                  <c:v>-23.5</c:v>
                </c:pt>
                <c:pt idx="1101">
                  <c:v>-24.1666666666667</c:v>
                </c:pt>
                <c:pt idx="1102">
                  <c:v>-24</c:v>
                </c:pt>
                <c:pt idx="1103">
                  <c:v>-23.3333333333333</c:v>
                </c:pt>
                <c:pt idx="1104">
                  <c:v>-23.8333333333333</c:v>
                </c:pt>
                <c:pt idx="1105">
                  <c:v>-24</c:v>
                </c:pt>
                <c:pt idx="1106">
                  <c:v>-24.1666666666667</c:v>
                </c:pt>
                <c:pt idx="1107">
                  <c:v>-24</c:v>
                </c:pt>
                <c:pt idx="1108">
                  <c:v>-24.1666666666667</c:v>
                </c:pt>
                <c:pt idx="1109">
                  <c:v>-24</c:v>
                </c:pt>
                <c:pt idx="1110">
                  <c:v>-23.3333333333333</c:v>
                </c:pt>
                <c:pt idx="1111">
                  <c:v>-24.5</c:v>
                </c:pt>
                <c:pt idx="1112">
                  <c:v>-24.1666666666667</c:v>
                </c:pt>
                <c:pt idx="1113">
                  <c:v>-24.3333333333333</c:v>
                </c:pt>
                <c:pt idx="1114">
                  <c:v>-24.1666666666667</c:v>
                </c:pt>
                <c:pt idx="1115">
                  <c:v>-24</c:v>
                </c:pt>
                <c:pt idx="1116">
                  <c:v>-24.6666666666667</c:v>
                </c:pt>
                <c:pt idx="1117">
                  <c:v>-24.8333333333333</c:v>
                </c:pt>
                <c:pt idx="1118">
                  <c:v>-24.1666666666667</c:v>
                </c:pt>
                <c:pt idx="1119">
                  <c:v>-24.1666666666667</c:v>
                </c:pt>
                <c:pt idx="1120">
                  <c:v>-25.6666666666667</c:v>
                </c:pt>
                <c:pt idx="1121">
                  <c:v>-25</c:v>
                </c:pt>
                <c:pt idx="1122">
                  <c:v>-24.6666666666667</c:v>
                </c:pt>
                <c:pt idx="1123">
                  <c:v>-25</c:v>
                </c:pt>
                <c:pt idx="1124">
                  <c:v>-25.5</c:v>
                </c:pt>
                <c:pt idx="1125">
                  <c:v>-24</c:v>
                </c:pt>
                <c:pt idx="1126">
                  <c:v>-24.8333333333333</c:v>
                </c:pt>
                <c:pt idx="1127">
                  <c:v>-25.1666666666667</c:v>
                </c:pt>
                <c:pt idx="1128">
                  <c:v>-24.3333333333333</c:v>
                </c:pt>
                <c:pt idx="1129">
                  <c:v>-25</c:v>
                </c:pt>
                <c:pt idx="1130">
                  <c:v>-25.8333333333333</c:v>
                </c:pt>
                <c:pt idx="1131">
                  <c:v>-24.1666666666667</c:v>
                </c:pt>
                <c:pt idx="1132">
                  <c:v>-25.5</c:v>
                </c:pt>
                <c:pt idx="1133">
                  <c:v>-26.1666666666667</c:v>
                </c:pt>
                <c:pt idx="1134">
                  <c:v>-24.3333333333333</c:v>
                </c:pt>
                <c:pt idx="1135">
                  <c:v>-25.5</c:v>
                </c:pt>
                <c:pt idx="1136">
                  <c:v>-25.6666666666667</c:v>
                </c:pt>
                <c:pt idx="1137">
                  <c:v>-24.5</c:v>
                </c:pt>
                <c:pt idx="1138">
                  <c:v>-25.3333333333333</c:v>
                </c:pt>
                <c:pt idx="1139">
                  <c:v>-25.3333333333333</c:v>
                </c:pt>
                <c:pt idx="1140">
                  <c:v>-24.8333333333333</c:v>
                </c:pt>
                <c:pt idx="1141">
                  <c:v>-25.6666666666667</c:v>
                </c:pt>
                <c:pt idx="1142">
                  <c:v>-25.1666666666667</c:v>
                </c:pt>
                <c:pt idx="1143">
                  <c:v>-24.6666666666667</c:v>
                </c:pt>
                <c:pt idx="1144">
                  <c:v>-25.5</c:v>
                </c:pt>
                <c:pt idx="1145">
                  <c:v>-25</c:v>
                </c:pt>
                <c:pt idx="1146">
                  <c:v>-24.6666666666667</c:v>
                </c:pt>
                <c:pt idx="1147">
                  <c:v>-25.3333333333333</c:v>
                </c:pt>
                <c:pt idx="1148">
                  <c:v>-25.1666666666667</c:v>
                </c:pt>
                <c:pt idx="1149">
                  <c:v>-25</c:v>
                </c:pt>
                <c:pt idx="1150">
                  <c:v>-25.5</c:v>
                </c:pt>
                <c:pt idx="1151">
                  <c:v>-25.1666666666667</c:v>
                </c:pt>
                <c:pt idx="1152">
                  <c:v>-24.5</c:v>
                </c:pt>
                <c:pt idx="1153">
                  <c:v>-25.6666666666667</c:v>
                </c:pt>
                <c:pt idx="1154">
                  <c:v>-25</c:v>
                </c:pt>
                <c:pt idx="1155">
                  <c:v>-25.1666666666667</c:v>
                </c:pt>
                <c:pt idx="1156">
                  <c:v>-26</c:v>
                </c:pt>
                <c:pt idx="1157">
                  <c:v>-25</c:v>
                </c:pt>
                <c:pt idx="1158">
                  <c:v>-25</c:v>
                </c:pt>
                <c:pt idx="1159">
                  <c:v>-25.1666666666667</c:v>
                </c:pt>
                <c:pt idx="1160">
                  <c:v>-25.6666666666667</c:v>
                </c:pt>
                <c:pt idx="1161">
                  <c:v>-24.6666666666667</c:v>
                </c:pt>
                <c:pt idx="1162">
                  <c:v>-25.3333333333333</c:v>
                </c:pt>
                <c:pt idx="1163">
                  <c:v>-25.5</c:v>
                </c:pt>
                <c:pt idx="1164">
                  <c:v>-25.6666666666667</c:v>
                </c:pt>
                <c:pt idx="1165">
                  <c:v>-25.3333333333333</c:v>
                </c:pt>
                <c:pt idx="1166">
                  <c:v>-25.3333333333333</c:v>
                </c:pt>
                <c:pt idx="1167">
                  <c:v>-25.5</c:v>
                </c:pt>
                <c:pt idx="1168">
                  <c:v>-25.1666666666667</c:v>
                </c:pt>
                <c:pt idx="1169">
                  <c:v>-24.8333333333333</c:v>
                </c:pt>
                <c:pt idx="1170">
                  <c:v>-25.6666666666667</c:v>
                </c:pt>
                <c:pt idx="1171">
                  <c:v>-25.3333333333333</c:v>
                </c:pt>
                <c:pt idx="1172">
                  <c:v>-25.1666666666667</c:v>
                </c:pt>
                <c:pt idx="1173">
                  <c:v>-25</c:v>
                </c:pt>
                <c:pt idx="1174">
                  <c:v>-25</c:v>
                </c:pt>
                <c:pt idx="1175">
                  <c:v>-25.3333333333333</c:v>
                </c:pt>
                <c:pt idx="1176">
                  <c:v>-25.5</c:v>
                </c:pt>
                <c:pt idx="1177">
                  <c:v>-24.8333333333333</c:v>
                </c:pt>
                <c:pt idx="1178">
                  <c:v>-25.1666666666667</c:v>
                </c:pt>
                <c:pt idx="1179">
                  <c:v>-25.1666666666667</c:v>
                </c:pt>
                <c:pt idx="1180">
                  <c:v>-25.3333333333333</c:v>
                </c:pt>
                <c:pt idx="1181">
                  <c:v>-25.3333333333333</c:v>
                </c:pt>
                <c:pt idx="1182">
                  <c:v>-25</c:v>
                </c:pt>
                <c:pt idx="1183">
                  <c:v>-25.3333333333333</c:v>
                </c:pt>
                <c:pt idx="1184">
                  <c:v>-24.3333333333333</c:v>
                </c:pt>
                <c:pt idx="1185">
                  <c:v>-24.8333333333333</c:v>
                </c:pt>
                <c:pt idx="1186">
                  <c:v>-25.5</c:v>
                </c:pt>
                <c:pt idx="1187">
                  <c:v>-25</c:v>
                </c:pt>
                <c:pt idx="1188">
                  <c:v>253</c:v>
                </c:pt>
                <c:pt idx="1189">
                  <c:v>354</c:v>
                </c:pt>
                <c:pt idx="1190">
                  <c:v>441</c:v>
                </c:pt>
                <c:pt idx="1191">
                  <c:v>564</c:v>
                </c:pt>
                <c:pt idx="1192">
                  <c:v>724</c:v>
                </c:pt>
                <c:pt idx="1193">
                  <c:v>876</c:v>
                </c:pt>
                <c:pt idx="1194">
                  <c:v>986</c:v>
                </c:pt>
                <c:pt idx="1195">
                  <c:v>1093</c:v>
                </c:pt>
                <c:pt idx="1196">
                  <c:v>1208</c:v>
                </c:pt>
                <c:pt idx="1197">
                  <c:v>1327</c:v>
                </c:pt>
                <c:pt idx="1198">
                  <c:v>1427</c:v>
                </c:pt>
                <c:pt idx="1199">
                  <c:v>1531</c:v>
                </c:pt>
                <c:pt idx="1200">
                  <c:v>1627</c:v>
                </c:pt>
                <c:pt idx="1201">
                  <c:v>1734</c:v>
                </c:pt>
                <c:pt idx="1202">
                  <c:v>1860</c:v>
                </c:pt>
                <c:pt idx="1203">
                  <c:v>1986</c:v>
                </c:pt>
                <c:pt idx="1204">
                  <c:v>2113</c:v>
                </c:pt>
                <c:pt idx="1205">
                  <c:v>2185</c:v>
                </c:pt>
                <c:pt idx="1206">
                  <c:v>2282</c:v>
                </c:pt>
                <c:pt idx="1207">
                  <c:v>2398</c:v>
                </c:pt>
                <c:pt idx="1208">
                  <c:v>2507</c:v>
                </c:pt>
                <c:pt idx="1209">
                  <c:v>2631</c:v>
                </c:pt>
                <c:pt idx="1210">
                  <c:v>2754</c:v>
                </c:pt>
                <c:pt idx="1211">
                  <c:v>2894</c:v>
                </c:pt>
                <c:pt idx="1212">
                  <c:v>3008</c:v>
                </c:pt>
                <c:pt idx="1213">
                  <c:v>3127</c:v>
                </c:pt>
                <c:pt idx="1214">
                  <c:v>3234</c:v>
                </c:pt>
                <c:pt idx="1215">
                  <c:v>3356</c:v>
                </c:pt>
                <c:pt idx="1216">
                  <c:v>3479</c:v>
                </c:pt>
                <c:pt idx="1217">
                  <c:v>3580</c:v>
                </c:pt>
                <c:pt idx="1218">
                  <c:v>3683</c:v>
                </c:pt>
                <c:pt idx="1219">
                  <c:v>3780</c:v>
                </c:pt>
                <c:pt idx="1220">
                  <c:v>3882</c:v>
                </c:pt>
                <c:pt idx="1221">
                  <c:v>3987</c:v>
                </c:pt>
                <c:pt idx="1222">
                  <c:v>4095</c:v>
                </c:pt>
                <c:pt idx="1223">
                  <c:v>4198</c:v>
                </c:pt>
                <c:pt idx="1224">
                  <c:v>4320</c:v>
                </c:pt>
                <c:pt idx="1225">
                  <c:v>4425</c:v>
                </c:pt>
                <c:pt idx="1226">
                  <c:v>4524</c:v>
                </c:pt>
                <c:pt idx="1227">
                  <c:v>4623</c:v>
                </c:pt>
                <c:pt idx="1228">
                  <c:v>4723</c:v>
                </c:pt>
                <c:pt idx="1229">
                  <c:v>4828</c:v>
                </c:pt>
                <c:pt idx="1230">
                  <c:v>4926</c:v>
                </c:pt>
                <c:pt idx="1231">
                  <c:v>5029</c:v>
                </c:pt>
                <c:pt idx="1232">
                  <c:v>5125</c:v>
                </c:pt>
                <c:pt idx="1233">
                  <c:v>5221</c:v>
                </c:pt>
                <c:pt idx="1234">
                  <c:v>5325</c:v>
                </c:pt>
                <c:pt idx="1235">
                  <c:v>5431</c:v>
                </c:pt>
                <c:pt idx="1236">
                  <c:v>5536</c:v>
                </c:pt>
                <c:pt idx="1237">
                  <c:v>5640</c:v>
                </c:pt>
                <c:pt idx="1238">
                  <c:v>5743</c:v>
                </c:pt>
                <c:pt idx="1239">
                  <c:v>5845</c:v>
                </c:pt>
                <c:pt idx="1240">
                  <c:v>5957</c:v>
                </c:pt>
                <c:pt idx="1241">
                  <c:v>6056</c:v>
                </c:pt>
                <c:pt idx="1242">
                  <c:v>6157</c:v>
                </c:pt>
                <c:pt idx="1243">
                  <c:v>6256</c:v>
                </c:pt>
                <c:pt idx="1244">
                  <c:v>6355</c:v>
                </c:pt>
                <c:pt idx="1245">
                  <c:v>6452</c:v>
                </c:pt>
                <c:pt idx="1246">
                  <c:v>6553</c:v>
                </c:pt>
                <c:pt idx="1247">
                  <c:v>6658</c:v>
                </c:pt>
                <c:pt idx="1248">
                  <c:v>6748</c:v>
                </c:pt>
                <c:pt idx="1249">
                  <c:v>6842</c:v>
                </c:pt>
                <c:pt idx="1250">
                  <c:v>6934</c:v>
                </c:pt>
                <c:pt idx="1251">
                  <c:v>7031</c:v>
                </c:pt>
                <c:pt idx="1252">
                  <c:v>7124</c:v>
                </c:pt>
                <c:pt idx="1253">
                  <c:v>7226</c:v>
                </c:pt>
                <c:pt idx="1254">
                  <c:v>7337</c:v>
                </c:pt>
                <c:pt idx="1255">
                  <c:v>7441</c:v>
                </c:pt>
                <c:pt idx="1256">
                  <c:v>7541</c:v>
                </c:pt>
                <c:pt idx="1257">
                  <c:v>7643</c:v>
                </c:pt>
                <c:pt idx="1258">
                  <c:v>7742</c:v>
                </c:pt>
                <c:pt idx="1259">
                  <c:v>7841</c:v>
                </c:pt>
                <c:pt idx="1260">
                  <c:v>7946</c:v>
                </c:pt>
                <c:pt idx="1261">
                  <c:v>8063</c:v>
                </c:pt>
                <c:pt idx="1262">
                  <c:v>8194</c:v>
                </c:pt>
                <c:pt idx="1263">
                  <c:v>8311</c:v>
                </c:pt>
                <c:pt idx="1264">
                  <c:v>8418</c:v>
                </c:pt>
                <c:pt idx="1265">
                  <c:v>8526</c:v>
                </c:pt>
                <c:pt idx="1266">
                  <c:v>8637</c:v>
                </c:pt>
                <c:pt idx="1267">
                  <c:v>8741</c:v>
                </c:pt>
                <c:pt idx="1268">
                  <c:v>8846</c:v>
                </c:pt>
                <c:pt idx="1269">
                  <c:v>8951</c:v>
                </c:pt>
                <c:pt idx="1270">
                  <c:v>9057</c:v>
                </c:pt>
                <c:pt idx="1271">
                  <c:v>9174</c:v>
                </c:pt>
                <c:pt idx="1272">
                  <c:v>9287</c:v>
                </c:pt>
                <c:pt idx="1273">
                  <c:v>9395</c:v>
                </c:pt>
                <c:pt idx="1274">
                  <c:v>9511</c:v>
                </c:pt>
                <c:pt idx="1275">
                  <c:v>9626</c:v>
                </c:pt>
                <c:pt idx="1276">
                  <c:v>9740</c:v>
                </c:pt>
                <c:pt idx="1277">
                  <c:v>9852</c:v>
                </c:pt>
                <c:pt idx="1278">
                  <c:v>9975</c:v>
                </c:pt>
                <c:pt idx="1279">
                  <c:v>10109</c:v>
                </c:pt>
                <c:pt idx="1280">
                  <c:v>10222</c:v>
                </c:pt>
                <c:pt idx="1281">
                  <c:v>10330</c:v>
                </c:pt>
                <c:pt idx="1282">
                  <c:v>10436</c:v>
                </c:pt>
                <c:pt idx="1283">
                  <c:v>10539</c:v>
                </c:pt>
                <c:pt idx="1284">
                  <c:v>10647</c:v>
                </c:pt>
                <c:pt idx="1285">
                  <c:v>10758</c:v>
                </c:pt>
                <c:pt idx="1286">
                  <c:v>10868</c:v>
                </c:pt>
                <c:pt idx="1287">
                  <c:v>10982</c:v>
                </c:pt>
                <c:pt idx="1288">
                  <c:v>11089</c:v>
                </c:pt>
                <c:pt idx="1289">
                  <c:v>11195</c:v>
                </c:pt>
                <c:pt idx="1290">
                  <c:v>11306</c:v>
                </c:pt>
                <c:pt idx="1291">
                  <c:v>11411</c:v>
                </c:pt>
                <c:pt idx="1292">
                  <c:v>11524</c:v>
                </c:pt>
                <c:pt idx="1293">
                  <c:v>11639</c:v>
                </c:pt>
                <c:pt idx="1294">
                  <c:v>11750</c:v>
                </c:pt>
                <c:pt idx="1295">
                  <c:v>11861</c:v>
                </c:pt>
                <c:pt idx="1296">
                  <c:v>11979</c:v>
                </c:pt>
                <c:pt idx="1297">
                  <c:v>12091</c:v>
                </c:pt>
                <c:pt idx="1298">
                  <c:v>12197</c:v>
                </c:pt>
                <c:pt idx="1299">
                  <c:v>12309</c:v>
                </c:pt>
                <c:pt idx="1300">
                  <c:v>12417</c:v>
                </c:pt>
                <c:pt idx="1301">
                  <c:v>12526</c:v>
                </c:pt>
                <c:pt idx="1302">
                  <c:v>12636</c:v>
                </c:pt>
                <c:pt idx="1303">
                  <c:v>12747</c:v>
                </c:pt>
                <c:pt idx="1304">
                  <c:v>12859</c:v>
                </c:pt>
                <c:pt idx="1305">
                  <c:v>12977</c:v>
                </c:pt>
                <c:pt idx="1306">
                  <c:v>13101</c:v>
                </c:pt>
                <c:pt idx="1307">
                  <c:v>13242</c:v>
                </c:pt>
                <c:pt idx="1308">
                  <c:v>13358</c:v>
                </c:pt>
                <c:pt idx="1309">
                  <c:v>13476</c:v>
                </c:pt>
                <c:pt idx="1310">
                  <c:v>13593</c:v>
                </c:pt>
                <c:pt idx="1311">
                  <c:v>13703</c:v>
                </c:pt>
                <c:pt idx="1312">
                  <c:v>13812</c:v>
                </c:pt>
                <c:pt idx="1313">
                  <c:v>13922</c:v>
                </c:pt>
                <c:pt idx="1314">
                  <c:v>14042</c:v>
                </c:pt>
                <c:pt idx="1315">
                  <c:v>14163</c:v>
                </c:pt>
                <c:pt idx="1316">
                  <c:v>14282</c:v>
                </c:pt>
                <c:pt idx="1317">
                  <c:v>14394</c:v>
                </c:pt>
                <c:pt idx="1318">
                  <c:v>14508</c:v>
                </c:pt>
                <c:pt idx="1319">
                  <c:v>14618</c:v>
                </c:pt>
                <c:pt idx="1320">
                  <c:v>14728</c:v>
                </c:pt>
                <c:pt idx="1321">
                  <c:v>14843</c:v>
                </c:pt>
                <c:pt idx="1322">
                  <c:v>14966</c:v>
                </c:pt>
                <c:pt idx="1323">
                  <c:v>15090</c:v>
                </c:pt>
                <c:pt idx="1324">
                  <c:v>15206</c:v>
                </c:pt>
                <c:pt idx="1325">
                  <c:v>15319</c:v>
                </c:pt>
                <c:pt idx="1326">
                  <c:v>15436</c:v>
                </c:pt>
                <c:pt idx="1327">
                  <c:v>15543</c:v>
                </c:pt>
                <c:pt idx="1328">
                  <c:v>15658</c:v>
                </c:pt>
                <c:pt idx="1329">
                  <c:v>15767</c:v>
                </c:pt>
                <c:pt idx="1330">
                  <c:v>15885</c:v>
                </c:pt>
                <c:pt idx="1331">
                  <c:v>16004</c:v>
                </c:pt>
                <c:pt idx="1332">
                  <c:v>16120</c:v>
                </c:pt>
                <c:pt idx="1333">
                  <c:v>16242</c:v>
                </c:pt>
                <c:pt idx="1334">
                  <c:v>16363</c:v>
                </c:pt>
                <c:pt idx="1335">
                  <c:v>16487</c:v>
                </c:pt>
                <c:pt idx="1336">
                  <c:v>16620</c:v>
                </c:pt>
                <c:pt idx="1337">
                  <c:v>16749</c:v>
                </c:pt>
                <c:pt idx="1338">
                  <c:v>16867</c:v>
                </c:pt>
                <c:pt idx="1339">
                  <c:v>16984</c:v>
                </c:pt>
                <c:pt idx="1340">
                  <c:v>17107</c:v>
                </c:pt>
                <c:pt idx="1341">
                  <c:v>17226</c:v>
                </c:pt>
                <c:pt idx="1342">
                  <c:v>17354</c:v>
                </c:pt>
                <c:pt idx="1343">
                  <c:v>17487</c:v>
                </c:pt>
                <c:pt idx="1344">
                  <c:v>17609</c:v>
                </c:pt>
                <c:pt idx="1345">
                  <c:v>17733</c:v>
                </c:pt>
                <c:pt idx="1346">
                  <c:v>17858</c:v>
                </c:pt>
                <c:pt idx="1347">
                  <c:v>17988</c:v>
                </c:pt>
                <c:pt idx="1348">
                  <c:v>18114</c:v>
                </c:pt>
                <c:pt idx="1349">
                  <c:v>18231</c:v>
                </c:pt>
                <c:pt idx="1350">
                  <c:v>18348</c:v>
                </c:pt>
                <c:pt idx="1351">
                  <c:v>18473</c:v>
                </c:pt>
                <c:pt idx="1352">
                  <c:v>18596</c:v>
                </c:pt>
                <c:pt idx="1353">
                  <c:v>18730</c:v>
                </c:pt>
                <c:pt idx="1354">
                  <c:v>18863</c:v>
                </c:pt>
                <c:pt idx="1355">
                  <c:v>18989</c:v>
                </c:pt>
                <c:pt idx="1356">
                  <c:v>19118</c:v>
                </c:pt>
                <c:pt idx="1357">
                  <c:v>19250</c:v>
                </c:pt>
                <c:pt idx="1358">
                  <c:v>19377</c:v>
                </c:pt>
                <c:pt idx="1359">
                  <c:v>19512</c:v>
                </c:pt>
                <c:pt idx="1360">
                  <c:v>19648</c:v>
                </c:pt>
                <c:pt idx="1361">
                  <c:v>19779</c:v>
                </c:pt>
                <c:pt idx="1362">
                  <c:v>19908</c:v>
                </c:pt>
                <c:pt idx="1363">
                  <c:v>20039</c:v>
                </c:pt>
                <c:pt idx="1364">
                  <c:v>20176</c:v>
                </c:pt>
                <c:pt idx="1365">
                  <c:v>20308</c:v>
                </c:pt>
                <c:pt idx="1366">
                  <c:v>20455</c:v>
                </c:pt>
                <c:pt idx="1367">
                  <c:v>20596</c:v>
                </c:pt>
                <c:pt idx="1368">
                  <c:v>20731</c:v>
                </c:pt>
                <c:pt idx="1369">
                  <c:v>20866</c:v>
                </c:pt>
                <c:pt idx="1370">
                  <c:v>20998</c:v>
                </c:pt>
                <c:pt idx="1371">
                  <c:v>21129</c:v>
                </c:pt>
                <c:pt idx="1372">
                  <c:v>21269</c:v>
                </c:pt>
                <c:pt idx="1373">
                  <c:v>21408</c:v>
                </c:pt>
                <c:pt idx="1374">
                  <c:v>21536</c:v>
                </c:pt>
                <c:pt idx="1375">
                  <c:v>21665</c:v>
                </c:pt>
                <c:pt idx="1376">
                  <c:v>21799</c:v>
                </c:pt>
                <c:pt idx="1377">
                  <c:v>21935</c:v>
                </c:pt>
                <c:pt idx="1378">
                  <c:v>22080</c:v>
                </c:pt>
                <c:pt idx="1379">
                  <c:v>22211</c:v>
                </c:pt>
                <c:pt idx="1380">
                  <c:v>22350</c:v>
                </c:pt>
                <c:pt idx="1381">
                  <c:v>22482</c:v>
                </c:pt>
                <c:pt idx="1382">
                  <c:v>22610</c:v>
                </c:pt>
                <c:pt idx="1383">
                  <c:v>22746</c:v>
                </c:pt>
                <c:pt idx="1384">
                  <c:v>22874</c:v>
                </c:pt>
                <c:pt idx="1385">
                  <c:v>23005</c:v>
                </c:pt>
                <c:pt idx="1386">
                  <c:v>23148</c:v>
                </c:pt>
                <c:pt idx="1387">
                  <c:v>23297</c:v>
                </c:pt>
                <c:pt idx="1388">
                  <c:v>23439</c:v>
                </c:pt>
                <c:pt idx="1389">
                  <c:v>23580</c:v>
                </c:pt>
                <c:pt idx="1390">
                  <c:v>23720</c:v>
                </c:pt>
                <c:pt idx="1391">
                  <c:v>23855</c:v>
                </c:pt>
                <c:pt idx="1392">
                  <c:v>23988</c:v>
                </c:pt>
                <c:pt idx="1393">
                  <c:v>24129</c:v>
                </c:pt>
                <c:pt idx="1394">
                  <c:v>24274</c:v>
                </c:pt>
                <c:pt idx="1395">
                  <c:v>24407</c:v>
                </c:pt>
                <c:pt idx="1396">
                  <c:v>24554</c:v>
                </c:pt>
                <c:pt idx="1397">
                  <c:v>24692</c:v>
                </c:pt>
                <c:pt idx="1398">
                  <c:v>24832</c:v>
                </c:pt>
                <c:pt idx="1399">
                  <c:v>24975</c:v>
                </c:pt>
                <c:pt idx="1400">
                  <c:v>25127</c:v>
                </c:pt>
                <c:pt idx="1401">
                  <c:v>25269</c:v>
                </c:pt>
                <c:pt idx="1402">
                  <c:v>25409</c:v>
                </c:pt>
                <c:pt idx="1403">
                  <c:v>25553</c:v>
                </c:pt>
                <c:pt idx="1404">
                  <c:v>25692</c:v>
                </c:pt>
                <c:pt idx="1405">
                  <c:v>25841</c:v>
                </c:pt>
                <c:pt idx="1406">
                  <c:v>26000</c:v>
                </c:pt>
                <c:pt idx="1407">
                  <c:v>26144</c:v>
                </c:pt>
                <c:pt idx="1408">
                  <c:v>26291</c:v>
                </c:pt>
                <c:pt idx="1409">
                  <c:v>26434</c:v>
                </c:pt>
                <c:pt idx="1410">
                  <c:v>26586</c:v>
                </c:pt>
                <c:pt idx="1411">
                  <c:v>26733</c:v>
                </c:pt>
                <c:pt idx="1412">
                  <c:v>26874</c:v>
                </c:pt>
                <c:pt idx="1413">
                  <c:v>27012</c:v>
                </c:pt>
                <c:pt idx="1414">
                  <c:v>27156</c:v>
                </c:pt>
                <c:pt idx="1415">
                  <c:v>27295</c:v>
                </c:pt>
                <c:pt idx="1416">
                  <c:v>27445</c:v>
                </c:pt>
                <c:pt idx="1417">
                  <c:v>27599</c:v>
                </c:pt>
                <c:pt idx="1418">
                  <c:v>27751</c:v>
                </c:pt>
                <c:pt idx="1419">
                  <c:v>27901</c:v>
                </c:pt>
                <c:pt idx="1420">
                  <c:v>28053</c:v>
                </c:pt>
                <c:pt idx="1421">
                  <c:v>28209</c:v>
                </c:pt>
                <c:pt idx="1422">
                  <c:v>28361</c:v>
                </c:pt>
                <c:pt idx="1423">
                  <c:v>28512</c:v>
                </c:pt>
                <c:pt idx="1424">
                  <c:v>28672</c:v>
                </c:pt>
                <c:pt idx="1425">
                  <c:v>28834</c:v>
                </c:pt>
                <c:pt idx="1426">
                  <c:v>28987</c:v>
                </c:pt>
                <c:pt idx="1427">
                  <c:v>29143</c:v>
                </c:pt>
                <c:pt idx="1428">
                  <c:v>29307</c:v>
                </c:pt>
                <c:pt idx="1429">
                  <c:v>29476</c:v>
                </c:pt>
                <c:pt idx="1430">
                  <c:v>29636</c:v>
                </c:pt>
                <c:pt idx="1431">
                  <c:v>29793</c:v>
                </c:pt>
                <c:pt idx="1432">
                  <c:v>29947</c:v>
                </c:pt>
                <c:pt idx="1433">
                  <c:v>30101</c:v>
                </c:pt>
                <c:pt idx="1434">
                  <c:v>30260</c:v>
                </c:pt>
                <c:pt idx="1435">
                  <c:v>30411</c:v>
                </c:pt>
                <c:pt idx="1436">
                  <c:v>30565</c:v>
                </c:pt>
                <c:pt idx="1437">
                  <c:v>30726</c:v>
                </c:pt>
                <c:pt idx="1438">
                  <c:v>30891</c:v>
                </c:pt>
                <c:pt idx="1439">
                  <c:v>31044</c:v>
                </c:pt>
                <c:pt idx="1440">
                  <c:v>31201</c:v>
                </c:pt>
                <c:pt idx="1441">
                  <c:v>31360</c:v>
                </c:pt>
                <c:pt idx="1442">
                  <c:v>31501</c:v>
                </c:pt>
                <c:pt idx="1443">
                  <c:v>31643</c:v>
                </c:pt>
                <c:pt idx="1444">
                  <c:v>31796</c:v>
                </c:pt>
                <c:pt idx="1445">
                  <c:v>31946</c:v>
                </c:pt>
                <c:pt idx="1446">
                  <c:v>32100</c:v>
                </c:pt>
                <c:pt idx="1447">
                  <c:v>32260</c:v>
                </c:pt>
                <c:pt idx="1448">
                  <c:v>32422</c:v>
                </c:pt>
                <c:pt idx="1449">
                  <c:v>32588</c:v>
                </c:pt>
                <c:pt idx="1450">
                  <c:v>32755</c:v>
                </c:pt>
                <c:pt idx="1451">
                  <c:v>32906</c:v>
                </c:pt>
                <c:pt idx="1452">
                  <c:v>33054</c:v>
                </c:pt>
                <c:pt idx="1453">
                  <c:v>33201</c:v>
                </c:pt>
                <c:pt idx="1454">
                  <c:v>33355</c:v>
                </c:pt>
                <c:pt idx="1455">
                  <c:v>33509</c:v>
                </c:pt>
                <c:pt idx="1456">
                  <c:v>33653</c:v>
                </c:pt>
                <c:pt idx="1457">
                  <c:v>33802</c:v>
                </c:pt>
                <c:pt idx="1458">
                  <c:v>33946</c:v>
                </c:pt>
                <c:pt idx="1459">
                  <c:v>34093</c:v>
                </c:pt>
                <c:pt idx="1460">
                  <c:v>34237</c:v>
                </c:pt>
                <c:pt idx="1461">
                  <c:v>34373</c:v>
                </c:pt>
                <c:pt idx="1462">
                  <c:v>34528</c:v>
                </c:pt>
                <c:pt idx="1463">
                  <c:v>34676</c:v>
                </c:pt>
                <c:pt idx="1464">
                  <c:v>34818</c:v>
                </c:pt>
                <c:pt idx="1465">
                  <c:v>34958</c:v>
                </c:pt>
                <c:pt idx="1466">
                  <c:v>35094</c:v>
                </c:pt>
                <c:pt idx="1467">
                  <c:v>35233</c:v>
                </c:pt>
                <c:pt idx="1468">
                  <c:v>35358</c:v>
                </c:pt>
                <c:pt idx="1469">
                  <c:v>35481</c:v>
                </c:pt>
                <c:pt idx="1470">
                  <c:v>35611</c:v>
                </c:pt>
                <c:pt idx="1471">
                  <c:v>35742</c:v>
                </c:pt>
                <c:pt idx="1472">
                  <c:v>35872</c:v>
                </c:pt>
                <c:pt idx="1473">
                  <c:v>36012</c:v>
                </c:pt>
                <c:pt idx="1474">
                  <c:v>36166</c:v>
                </c:pt>
                <c:pt idx="1475">
                  <c:v>36314</c:v>
                </c:pt>
                <c:pt idx="1476">
                  <c:v>36439</c:v>
                </c:pt>
                <c:pt idx="1477">
                  <c:v>36569</c:v>
                </c:pt>
                <c:pt idx="1478">
                  <c:v>36697</c:v>
                </c:pt>
                <c:pt idx="1479">
                  <c:v>36827</c:v>
                </c:pt>
                <c:pt idx="1480">
                  <c:v>36954</c:v>
                </c:pt>
                <c:pt idx="1481">
                  <c:v>37085</c:v>
                </c:pt>
                <c:pt idx="1482">
                  <c:v>37225</c:v>
                </c:pt>
                <c:pt idx="1483">
                  <c:v>37348</c:v>
                </c:pt>
                <c:pt idx="1484">
                  <c:v>37466</c:v>
                </c:pt>
                <c:pt idx="1485">
                  <c:v>4.28</c:v>
                </c:pt>
                <c:pt idx="1486">
                  <c:v>2.94</c:v>
                </c:pt>
                <c:pt idx="1487">
                  <c:v>3.22</c:v>
                </c:pt>
                <c:pt idx="1488">
                  <c:v>4.66</c:v>
                </c:pt>
                <c:pt idx="1489">
                  <c:v>5.21</c:v>
                </c:pt>
                <c:pt idx="1490">
                  <c:v>4.51</c:v>
                </c:pt>
                <c:pt idx="1491">
                  <c:v>3.62</c:v>
                </c:pt>
                <c:pt idx="1492">
                  <c:v>3.42</c:v>
                </c:pt>
                <c:pt idx="1493">
                  <c:v>3.82</c:v>
                </c:pt>
                <c:pt idx="1494">
                  <c:v>3.56</c:v>
                </c:pt>
                <c:pt idx="1495">
                  <c:v>3.24</c:v>
                </c:pt>
                <c:pt idx="1496">
                  <c:v>3.7</c:v>
                </c:pt>
                <c:pt idx="1497">
                  <c:v>3.56</c:v>
                </c:pt>
                <c:pt idx="1498">
                  <c:v>3.39</c:v>
                </c:pt>
                <c:pt idx="1499">
                  <c:v>4.1</c:v>
                </c:pt>
                <c:pt idx="1500">
                  <c:v>4.1</c:v>
                </c:pt>
                <c:pt idx="1501">
                  <c:v>3.83</c:v>
                </c:pt>
                <c:pt idx="1502">
                  <c:v>3.77</c:v>
                </c:pt>
                <c:pt idx="1503">
                  <c:v>3.11</c:v>
                </c:pt>
                <c:pt idx="1504">
                  <c:v>4.23</c:v>
                </c:pt>
                <c:pt idx="1505">
                  <c:v>3.71</c:v>
                </c:pt>
                <c:pt idx="1506">
                  <c:v>3.89</c:v>
                </c:pt>
                <c:pt idx="1507">
                  <c:v>4.55</c:v>
                </c:pt>
                <c:pt idx="1508">
                  <c:v>4.35</c:v>
                </c:pt>
                <c:pt idx="1509">
                  <c:v>3.89</c:v>
                </c:pt>
                <c:pt idx="1510">
                  <c:v>3.67</c:v>
                </c:pt>
                <c:pt idx="1511">
                  <c:v>3.82</c:v>
                </c:pt>
                <c:pt idx="1512">
                  <c:v>4.04</c:v>
                </c:pt>
                <c:pt idx="1513">
                  <c:v>3.67</c:v>
                </c:pt>
                <c:pt idx="1514">
                  <c:v>3.39</c:v>
                </c:pt>
                <c:pt idx="1515">
                  <c:v>3.42</c:v>
                </c:pt>
                <c:pt idx="1516">
                  <c:v>3.35</c:v>
                </c:pt>
                <c:pt idx="1517">
                  <c:v>3.25</c:v>
                </c:pt>
                <c:pt idx="1518">
                  <c:v>3.45</c:v>
                </c:pt>
                <c:pt idx="1519">
                  <c:v>3.42</c:v>
                </c:pt>
                <c:pt idx="1520">
                  <c:v>3.61</c:v>
                </c:pt>
                <c:pt idx="1521">
                  <c:v>4.45</c:v>
                </c:pt>
                <c:pt idx="1522">
                  <c:v>3.21</c:v>
                </c:pt>
                <c:pt idx="1523">
                  <c:v>3.38</c:v>
                </c:pt>
                <c:pt idx="1524">
                  <c:v>3.2</c:v>
                </c:pt>
                <c:pt idx="1525">
                  <c:v>3.21</c:v>
                </c:pt>
                <c:pt idx="1526">
                  <c:v>3.32</c:v>
                </c:pt>
                <c:pt idx="1527">
                  <c:v>3.34</c:v>
                </c:pt>
                <c:pt idx="1528">
                  <c:v>3.47</c:v>
                </c:pt>
                <c:pt idx="1529">
                  <c:v>3.31</c:v>
                </c:pt>
                <c:pt idx="1530">
                  <c:v>3.25</c:v>
                </c:pt>
                <c:pt idx="1531">
                  <c:v>3.28</c:v>
                </c:pt>
                <c:pt idx="1532">
                  <c:v>3.55</c:v>
                </c:pt>
                <c:pt idx="1533">
                  <c:v>3.62</c:v>
                </c:pt>
                <c:pt idx="1534">
                  <c:v>3.41</c:v>
                </c:pt>
                <c:pt idx="1535">
                  <c:v>3.39</c:v>
                </c:pt>
                <c:pt idx="1536">
                  <c:v>3.4</c:v>
                </c:pt>
                <c:pt idx="1537">
                  <c:v>3.57</c:v>
                </c:pt>
                <c:pt idx="1538">
                  <c:v>3.23</c:v>
                </c:pt>
                <c:pt idx="1539">
                  <c:v>3.23</c:v>
                </c:pt>
                <c:pt idx="1540">
                  <c:v>3.3</c:v>
                </c:pt>
                <c:pt idx="1541">
                  <c:v>3.31</c:v>
                </c:pt>
                <c:pt idx="1542">
                  <c:v>3.23</c:v>
                </c:pt>
                <c:pt idx="1543">
                  <c:v>3.44</c:v>
                </c:pt>
                <c:pt idx="1544">
                  <c:v>3.03</c:v>
                </c:pt>
                <c:pt idx="1545">
                  <c:v>3.16</c:v>
                </c:pt>
                <c:pt idx="1546">
                  <c:v>3.19</c:v>
                </c:pt>
                <c:pt idx="1547">
                  <c:v>3.18</c:v>
                </c:pt>
                <c:pt idx="1548">
                  <c:v>3.18</c:v>
                </c:pt>
                <c:pt idx="1549">
                  <c:v>3.31</c:v>
                </c:pt>
                <c:pt idx="1550">
                  <c:v>3.27</c:v>
                </c:pt>
                <c:pt idx="1551">
                  <c:v>3.86</c:v>
                </c:pt>
                <c:pt idx="1552">
                  <c:v>3.4</c:v>
                </c:pt>
                <c:pt idx="1553">
                  <c:v>3.52</c:v>
                </c:pt>
                <c:pt idx="1554">
                  <c:v>3.3</c:v>
                </c:pt>
                <c:pt idx="1555">
                  <c:v>3.1</c:v>
                </c:pt>
                <c:pt idx="1556">
                  <c:v>3.41</c:v>
                </c:pt>
                <c:pt idx="1557">
                  <c:v>3.22</c:v>
                </c:pt>
                <c:pt idx="1558">
                  <c:v>3.73</c:v>
                </c:pt>
                <c:pt idx="1559">
                  <c:v>4.33</c:v>
                </c:pt>
                <c:pt idx="1560">
                  <c:v>3.88</c:v>
                </c:pt>
                <c:pt idx="1561">
                  <c:v>3.45</c:v>
                </c:pt>
                <c:pt idx="1562">
                  <c:v>3.44</c:v>
                </c:pt>
                <c:pt idx="1563">
                  <c:v>3.71</c:v>
                </c:pt>
                <c:pt idx="1564">
                  <c:v>3.65</c:v>
                </c:pt>
                <c:pt idx="1565">
                  <c:v>3.75</c:v>
                </c:pt>
                <c:pt idx="1566">
                  <c:v>3.34</c:v>
                </c:pt>
                <c:pt idx="1567">
                  <c:v>3.58</c:v>
                </c:pt>
                <c:pt idx="1568">
                  <c:v>3.89</c:v>
                </c:pt>
                <c:pt idx="1569">
                  <c:v>3.95</c:v>
                </c:pt>
                <c:pt idx="1570">
                  <c:v>3.81</c:v>
                </c:pt>
                <c:pt idx="1571">
                  <c:v>3.66</c:v>
                </c:pt>
                <c:pt idx="1572">
                  <c:v>3.89</c:v>
                </c:pt>
                <c:pt idx="1573">
                  <c:v>4.06</c:v>
                </c:pt>
                <c:pt idx="1574">
                  <c:v>3.86</c:v>
                </c:pt>
                <c:pt idx="1575">
                  <c:v>4.61</c:v>
                </c:pt>
                <c:pt idx="1576">
                  <c:v>3.82</c:v>
                </c:pt>
                <c:pt idx="1577">
                  <c:v>3.23</c:v>
                </c:pt>
                <c:pt idx="1578">
                  <c:v>3.87</c:v>
                </c:pt>
                <c:pt idx="1579">
                  <c:v>3.5</c:v>
                </c:pt>
                <c:pt idx="1580">
                  <c:v>3.09</c:v>
                </c:pt>
                <c:pt idx="1581">
                  <c:v>3.34</c:v>
                </c:pt>
                <c:pt idx="1582">
                  <c:v>3.2</c:v>
                </c:pt>
                <c:pt idx="1583">
                  <c:v>3.88</c:v>
                </c:pt>
                <c:pt idx="1584">
                  <c:v>3.48</c:v>
                </c:pt>
                <c:pt idx="1585">
                  <c:v>3.58</c:v>
                </c:pt>
                <c:pt idx="1586">
                  <c:v>3.5</c:v>
                </c:pt>
                <c:pt idx="1587">
                  <c:v>3.23</c:v>
                </c:pt>
                <c:pt idx="1588">
                  <c:v>3.81</c:v>
                </c:pt>
                <c:pt idx="1589">
                  <c:v>3.47</c:v>
                </c:pt>
                <c:pt idx="1590">
                  <c:v>4.04</c:v>
                </c:pt>
                <c:pt idx="1591">
                  <c:v>3.95</c:v>
                </c:pt>
                <c:pt idx="1592">
                  <c:v>4</c:v>
                </c:pt>
                <c:pt idx="1593">
                  <c:v>4.04</c:v>
                </c:pt>
                <c:pt idx="1594">
                  <c:v>3.37</c:v>
                </c:pt>
                <c:pt idx="1595">
                  <c:v>3.49</c:v>
                </c:pt>
                <c:pt idx="1596">
                  <c:v>3.46</c:v>
                </c:pt>
                <c:pt idx="1597">
                  <c:v>3.88</c:v>
                </c:pt>
                <c:pt idx="1598">
                  <c:v>3.68</c:v>
                </c:pt>
                <c:pt idx="1599">
                  <c:v>3.37</c:v>
                </c:pt>
                <c:pt idx="1600">
                  <c:v>3.46</c:v>
                </c:pt>
                <c:pt idx="1601">
                  <c:v>3.62</c:v>
                </c:pt>
                <c:pt idx="1602">
                  <c:v>4.2</c:v>
                </c:pt>
                <c:pt idx="1603">
                  <c:v>5.24</c:v>
                </c:pt>
                <c:pt idx="1604">
                  <c:v>4.48</c:v>
                </c:pt>
                <c:pt idx="1605">
                  <c:v>4.13</c:v>
                </c:pt>
                <c:pt idx="1606">
                  <c:v>3.66</c:v>
                </c:pt>
                <c:pt idx="1607">
                  <c:v>3.74</c:v>
                </c:pt>
                <c:pt idx="1608">
                  <c:v>3.45</c:v>
                </c:pt>
                <c:pt idx="1609">
                  <c:v>3.26</c:v>
                </c:pt>
                <c:pt idx="1610">
                  <c:v>3.75</c:v>
                </c:pt>
                <c:pt idx="1611">
                  <c:v>4.37</c:v>
                </c:pt>
                <c:pt idx="1612">
                  <c:v>4.01</c:v>
                </c:pt>
                <c:pt idx="1613">
                  <c:v>3.37</c:v>
                </c:pt>
                <c:pt idx="1614">
                  <c:v>4.27</c:v>
                </c:pt>
                <c:pt idx="1615">
                  <c:v>3.59</c:v>
                </c:pt>
                <c:pt idx="1616">
                  <c:v>4.33</c:v>
                </c:pt>
                <c:pt idx="1617">
                  <c:v>4.15</c:v>
                </c:pt>
                <c:pt idx="1618">
                  <c:v>3.71</c:v>
                </c:pt>
                <c:pt idx="1619">
                  <c:v>4</c:v>
                </c:pt>
                <c:pt idx="1620">
                  <c:v>3.92</c:v>
                </c:pt>
                <c:pt idx="1621">
                  <c:v>3.98</c:v>
                </c:pt>
                <c:pt idx="1622">
                  <c:v>3.81</c:v>
                </c:pt>
                <c:pt idx="1623">
                  <c:v>4.38</c:v>
                </c:pt>
                <c:pt idx="1624">
                  <c:v>3.64</c:v>
                </c:pt>
                <c:pt idx="1625">
                  <c:v>4.02</c:v>
                </c:pt>
                <c:pt idx="1626">
                  <c:v>3.97</c:v>
                </c:pt>
                <c:pt idx="1627">
                  <c:v>4.03</c:v>
                </c:pt>
                <c:pt idx="1628">
                  <c:v>3.89</c:v>
                </c:pt>
                <c:pt idx="1629">
                  <c:v>4.6</c:v>
                </c:pt>
                <c:pt idx="1630">
                  <c:v>3.46</c:v>
                </c:pt>
                <c:pt idx="1631">
                  <c:v>4.22</c:v>
                </c:pt>
                <c:pt idx="1632">
                  <c:v>4.32</c:v>
                </c:pt>
                <c:pt idx="1633">
                  <c:v>4.19</c:v>
                </c:pt>
                <c:pt idx="1634">
                  <c:v>4.39</c:v>
                </c:pt>
                <c:pt idx="1635">
                  <c:v>4.13</c:v>
                </c:pt>
                <c:pt idx="1636">
                  <c:v>4.46</c:v>
                </c:pt>
                <c:pt idx="1637">
                  <c:v>4.17</c:v>
                </c:pt>
                <c:pt idx="1638">
                  <c:v>4.43</c:v>
                </c:pt>
                <c:pt idx="1639">
                  <c:v>4.51</c:v>
                </c:pt>
                <c:pt idx="1640">
                  <c:v>4.19</c:v>
                </c:pt>
                <c:pt idx="1641">
                  <c:v>4.16</c:v>
                </c:pt>
                <c:pt idx="1642">
                  <c:v>4.07</c:v>
                </c:pt>
                <c:pt idx="1643">
                  <c:v>4.33</c:v>
                </c:pt>
                <c:pt idx="1644">
                  <c:v>4.21</c:v>
                </c:pt>
                <c:pt idx="1645">
                  <c:v>4.46</c:v>
                </c:pt>
                <c:pt idx="1646">
                  <c:v>4.18</c:v>
                </c:pt>
                <c:pt idx="1647">
                  <c:v>4.01</c:v>
                </c:pt>
                <c:pt idx="1648">
                  <c:v>4.28</c:v>
                </c:pt>
                <c:pt idx="1649">
                  <c:v>4.11</c:v>
                </c:pt>
                <c:pt idx="1650">
                  <c:v>4.4</c:v>
                </c:pt>
                <c:pt idx="1651">
                  <c:v>4.57</c:v>
                </c:pt>
                <c:pt idx="1652">
                  <c:v>3.83</c:v>
                </c:pt>
                <c:pt idx="1653">
                  <c:v>3.83</c:v>
                </c:pt>
                <c:pt idx="1654">
                  <c:v>4.4</c:v>
                </c:pt>
                <c:pt idx="1655">
                  <c:v>4.69</c:v>
                </c:pt>
                <c:pt idx="1656">
                  <c:v>4.43</c:v>
                </c:pt>
                <c:pt idx="1657">
                  <c:v>4.35</c:v>
                </c:pt>
                <c:pt idx="1658">
                  <c:v>4.13</c:v>
                </c:pt>
                <c:pt idx="1659">
                  <c:v>4.08</c:v>
                </c:pt>
                <c:pt idx="1660">
                  <c:v>5.36</c:v>
                </c:pt>
                <c:pt idx="1661">
                  <c:v>4.88</c:v>
                </c:pt>
                <c:pt idx="1662">
                  <c:v>4.24</c:v>
                </c:pt>
                <c:pt idx="1663">
                  <c:v>4.43</c:v>
                </c:pt>
                <c:pt idx="1664">
                  <c:v>4.96</c:v>
                </c:pt>
                <c:pt idx="1665">
                  <c:v>4.79</c:v>
                </c:pt>
                <c:pt idx="1666">
                  <c:v>3.99</c:v>
                </c:pt>
                <c:pt idx="1667">
                  <c:v>4.2</c:v>
                </c:pt>
                <c:pt idx="1668">
                  <c:v>4.78</c:v>
                </c:pt>
                <c:pt idx="1669">
                  <c:v>4.42</c:v>
                </c:pt>
                <c:pt idx="1670">
                  <c:v>3.95</c:v>
                </c:pt>
                <c:pt idx="1671">
                  <c:v>4.38</c:v>
                </c:pt>
                <c:pt idx="1672">
                  <c:v>4.62</c:v>
                </c:pt>
                <c:pt idx="1673">
                  <c:v>4.72</c:v>
                </c:pt>
                <c:pt idx="1674">
                  <c:v>4.15</c:v>
                </c:pt>
                <c:pt idx="1675">
                  <c:v>4.92</c:v>
                </c:pt>
                <c:pt idx="1676">
                  <c:v>4.42</c:v>
                </c:pt>
                <c:pt idx="1677">
                  <c:v>4.29</c:v>
                </c:pt>
                <c:pt idx="1678">
                  <c:v>4.34</c:v>
                </c:pt>
                <c:pt idx="1679">
                  <c:v>4.18</c:v>
                </c:pt>
                <c:pt idx="1680">
                  <c:v>5.09</c:v>
                </c:pt>
                <c:pt idx="1681">
                  <c:v>4.09</c:v>
                </c:pt>
                <c:pt idx="1682">
                  <c:v>4.23</c:v>
                </c:pt>
                <c:pt idx="1683">
                  <c:v>4.98</c:v>
                </c:pt>
                <c:pt idx="1684">
                  <c:v>5.08</c:v>
                </c:pt>
                <c:pt idx="1685">
                  <c:v>4.61</c:v>
                </c:pt>
                <c:pt idx="1686">
                  <c:v>5.26</c:v>
                </c:pt>
                <c:pt idx="1687">
                  <c:v>4.61</c:v>
                </c:pt>
                <c:pt idx="1688">
                  <c:v>5</c:v>
                </c:pt>
                <c:pt idx="1689">
                  <c:v>4.65</c:v>
                </c:pt>
                <c:pt idx="1690">
                  <c:v>4.88</c:v>
                </c:pt>
                <c:pt idx="1691">
                  <c:v>4.37</c:v>
                </c:pt>
                <c:pt idx="1692">
                  <c:v>5.07</c:v>
                </c:pt>
                <c:pt idx="1693">
                  <c:v>4.62</c:v>
                </c:pt>
                <c:pt idx="1694">
                  <c:v>4.63</c:v>
                </c:pt>
                <c:pt idx="1695">
                  <c:v>3.91</c:v>
                </c:pt>
                <c:pt idx="1696">
                  <c:v>4.95</c:v>
                </c:pt>
                <c:pt idx="1697">
                  <c:v>5</c:v>
                </c:pt>
                <c:pt idx="1698">
                  <c:v>4.5</c:v>
                </c:pt>
                <c:pt idx="1699">
                  <c:v>5.25</c:v>
                </c:pt>
                <c:pt idx="1700">
                  <c:v>4.47</c:v>
                </c:pt>
                <c:pt idx="1701">
                  <c:v>5.79</c:v>
                </c:pt>
                <c:pt idx="1702">
                  <c:v>5.03</c:v>
                </c:pt>
                <c:pt idx="1703">
                  <c:v>5.13</c:v>
                </c:pt>
                <c:pt idx="1704">
                  <c:v>4.5</c:v>
                </c:pt>
                <c:pt idx="1705">
                  <c:v>4.62</c:v>
                </c:pt>
                <c:pt idx="1706">
                  <c:v>5.02</c:v>
                </c:pt>
                <c:pt idx="1707">
                  <c:v>5.02</c:v>
                </c:pt>
                <c:pt idx="1708">
                  <c:v>4.59</c:v>
                </c:pt>
                <c:pt idx="1709">
                  <c:v>5.8</c:v>
                </c:pt>
                <c:pt idx="1710">
                  <c:v>4.39</c:v>
                </c:pt>
                <c:pt idx="1711">
                  <c:v>5.07</c:v>
                </c:pt>
                <c:pt idx="1712">
                  <c:v>5.17</c:v>
                </c:pt>
                <c:pt idx="1713">
                  <c:v>5.4</c:v>
                </c:pt>
                <c:pt idx="1714">
                  <c:v>4.59</c:v>
                </c:pt>
                <c:pt idx="1715">
                  <c:v>4.71</c:v>
                </c:pt>
                <c:pt idx="1716">
                  <c:v>4.98</c:v>
                </c:pt>
                <c:pt idx="1717">
                  <c:v>5.53</c:v>
                </c:pt>
                <c:pt idx="1718">
                  <c:v>5.91</c:v>
                </c:pt>
                <c:pt idx="1719">
                  <c:v>4.8</c:v>
                </c:pt>
                <c:pt idx="1720">
                  <c:v>5.03</c:v>
                </c:pt>
                <c:pt idx="1721">
                  <c:v>5.25</c:v>
                </c:pt>
                <c:pt idx="1722">
                  <c:v>5.3</c:v>
                </c:pt>
                <c:pt idx="1723">
                  <c:v>4.59</c:v>
                </c:pt>
                <c:pt idx="1724">
                  <c:v>5.38</c:v>
                </c:pt>
                <c:pt idx="1725">
                  <c:v>5.39</c:v>
                </c:pt>
                <c:pt idx="1726">
                  <c:v>5.65</c:v>
                </c:pt>
                <c:pt idx="1727">
                  <c:v>5.75</c:v>
                </c:pt>
                <c:pt idx="1728">
                  <c:v>5.21</c:v>
                </c:pt>
                <c:pt idx="1729">
                  <c:v>5.16</c:v>
                </c:pt>
                <c:pt idx="1730">
                  <c:v>5.55</c:v>
                </c:pt>
                <c:pt idx="1731">
                  <c:v>4.86</c:v>
                </c:pt>
                <c:pt idx="1732">
                  <c:v>5.17</c:v>
                </c:pt>
                <c:pt idx="1733">
                  <c:v>4.89</c:v>
                </c:pt>
                <c:pt idx="1734">
                  <c:v>5.54</c:v>
                </c:pt>
                <c:pt idx="1735">
                  <c:v>5.2</c:v>
                </c:pt>
                <c:pt idx="1736">
                  <c:v>5.7</c:v>
                </c:pt>
                <c:pt idx="1737">
                  <c:v>5.37</c:v>
                </c:pt>
                <c:pt idx="1738">
                  <c:v>5.21</c:v>
                </c:pt>
                <c:pt idx="1739">
                  <c:v>4.61</c:v>
                </c:pt>
                <c:pt idx="1740">
                  <c:v>4.79</c:v>
                </c:pt>
                <c:pt idx="1741">
                  <c:v>4.9</c:v>
                </c:pt>
                <c:pt idx="1742">
                  <c:v>5.21</c:v>
                </c:pt>
                <c:pt idx="1743">
                  <c:v>5.24</c:v>
                </c:pt>
                <c:pt idx="1744">
                  <c:v>5.49</c:v>
                </c:pt>
                <c:pt idx="1745">
                  <c:v>5.39</c:v>
                </c:pt>
                <c:pt idx="1746">
                  <c:v>5.4</c:v>
                </c:pt>
                <c:pt idx="1747">
                  <c:v>4.96</c:v>
                </c:pt>
                <c:pt idx="1748">
                  <c:v>5.12</c:v>
                </c:pt>
                <c:pt idx="1749">
                  <c:v>5.11</c:v>
                </c:pt>
                <c:pt idx="1750">
                  <c:v>5</c:v>
                </c:pt>
                <c:pt idx="1751">
                  <c:v>5.02</c:v>
                </c:pt>
                <c:pt idx="1752">
                  <c:v>4.78</c:v>
                </c:pt>
                <c:pt idx="1753">
                  <c:v>5.03</c:v>
                </c:pt>
                <c:pt idx="1754">
                  <c:v>5.04</c:v>
                </c:pt>
                <c:pt idx="1755">
                  <c:v>4.88</c:v>
                </c:pt>
                <c:pt idx="1756">
                  <c:v>5.02</c:v>
                </c:pt>
                <c:pt idx="1757">
                  <c:v>4.75</c:v>
                </c:pt>
                <c:pt idx="1758">
                  <c:v>4.74</c:v>
                </c:pt>
                <c:pt idx="1759">
                  <c:v>4.88</c:v>
                </c:pt>
                <c:pt idx="1760">
                  <c:v>4.78</c:v>
                </c:pt>
                <c:pt idx="1761">
                  <c:v>4.78</c:v>
                </c:pt>
                <c:pt idx="1762">
                  <c:v>4.54</c:v>
                </c:pt>
                <c:pt idx="1763">
                  <c:v>4.37</c:v>
                </c:pt>
                <c:pt idx="1764">
                  <c:v>4.41</c:v>
                </c:pt>
                <c:pt idx="1765">
                  <c:v>4.21</c:v>
                </c:pt>
                <c:pt idx="1766">
                  <c:v>4.2</c:v>
                </c:pt>
                <c:pt idx="1767">
                  <c:v>4.59</c:v>
                </c:pt>
                <c:pt idx="1768">
                  <c:v>4.41</c:v>
                </c:pt>
                <c:pt idx="1769">
                  <c:v>4.54</c:v>
                </c:pt>
                <c:pt idx="1770">
                  <c:v>4.99</c:v>
                </c:pt>
                <c:pt idx="1771">
                  <c:v>4.89</c:v>
                </c:pt>
                <c:pt idx="1772">
                  <c:v>4.44</c:v>
                </c:pt>
                <c:pt idx="1773">
                  <c:v>4.23</c:v>
                </c:pt>
                <c:pt idx="1774">
                  <c:v>4.45</c:v>
                </c:pt>
                <c:pt idx="1775">
                  <c:v>4.35</c:v>
                </c:pt>
                <c:pt idx="1776">
                  <c:v>4.38</c:v>
                </c:pt>
                <c:pt idx="1777">
                  <c:v>4.26</c:v>
                </c:pt>
                <c:pt idx="1778">
                  <c:v>4.36</c:v>
                </c:pt>
                <c:pt idx="1779">
                  <c:v>4.3</c:v>
                </c:pt>
                <c:pt idx="1780">
                  <c:v>4.09</c:v>
                </c:pt>
                <c:pt idx="1781">
                  <c:v>3.95</c:v>
                </c:pt>
                <c:pt idx="1782">
                  <c:v>15.408</c:v>
                </c:pt>
                <c:pt idx="1783">
                  <c:v>10.584</c:v>
                </c:pt>
                <c:pt idx="1784">
                  <c:v>11.592</c:v>
                </c:pt>
                <c:pt idx="1785">
                  <c:v>16.776</c:v>
                </c:pt>
                <c:pt idx="1786">
                  <c:v>18.756</c:v>
                </c:pt>
                <c:pt idx="1787">
                  <c:v>16.236</c:v>
                </c:pt>
                <c:pt idx="1788">
                  <c:v>13.032</c:v>
                </c:pt>
                <c:pt idx="1789">
                  <c:v>12.312</c:v>
                </c:pt>
                <c:pt idx="1790">
                  <c:v>13.752</c:v>
                </c:pt>
                <c:pt idx="1791">
                  <c:v>12.816</c:v>
                </c:pt>
                <c:pt idx="1792">
                  <c:v>11.664</c:v>
                </c:pt>
                <c:pt idx="1793">
                  <c:v>13.32</c:v>
                </c:pt>
                <c:pt idx="1794">
                  <c:v>12.816</c:v>
                </c:pt>
                <c:pt idx="1795">
                  <c:v>12.204</c:v>
                </c:pt>
                <c:pt idx="1796">
                  <c:v>14.76</c:v>
                </c:pt>
                <c:pt idx="1797">
                  <c:v>14.76</c:v>
                </c:pt>
                <c:pt idx="1798">
                  <c:v>13.788</c:v>
                </c:pt>
                <c:pt idx="1799">
                  <c:v>13.572</c:v>
                </c:pt>
                <c:pt idx="1800">
                  <c:v>11.196</c:v>
                </c:pt>
                <c:pt idx="1801">
                  <c:v>15.228</c:v>
                </c:pt>
                <c:pt idx="1802">
                  <c:v>13.356</c:v>
                </c:pt>
                <c:pt idx="1803">
                  <c:v>14.004</c:v>
                </c:pt>
                <c:pt idx="1804">
                  <c:v>16.38</c:v>
                </c:pt>
                <c:pt idx="1805">
                  <c:v>15.66</c:v>
                </c:pt>
                <c:pt idx="1806">
                  <c:v>14.004</c:v>
                </c:pt>
                <c:pt idx="1807">
                  <c:v>13.212</c:v>
                </c:pt>
                <c:pt idx="1808">
                  <c:v>13.752</c:v>
                </c:pt>
                <c:pt idx="1809">
                  <c:v>14.544</c:v>
                </c:pt>
                <c:pt idx="1810">
                  <c:v>13.212</c:v>
                </c:pt>
                <c:pt idx="1811">
                  <c:v>12.204</c:v>
                </c:pt>
                <c:pt idx="1812">
                  <c:v>12.312</c:v>
                </c:pt>
                <c:pt idx="1813">
                  <c:v>12.06</c:v>
                </c:pt>
                <c:pt idx="1814">
                  <c:v>11.7</c:v>
                </c:pt>
                <c:pt idx="1815">
                  <c:v>12.42</c:v>
                </c:pt>
                <c:pt idx="1816">
                  <c:v>12.312</c:v>
                </c:pt>
                <c:pt idx="1817">
                  <c:v>12.996</c:v>
                </c:pt>
                <c:pt idx="1818">
                  <c:v>16.02</c:v>
                </c:pt>
                <c:pt idx="1819">
                  <c:v>11.556</c:v>
                </c:pt>
                <c:pt idx="1820">
                  <c:v>12.168</c:v>
                </c:pt>
                <c:pt idx="1821">
                  <c:v>11.52</c:v>
                </c:pt>
                <c:pt idx="1822">
                  <c:v>11.556</c:v>
                </c:pt>
                <c:pt idx="1823">
                  <c:v>11.952</c:v>
                </c:pt>
                <c:pt idx="1824">
                  <c:v>12.024</c:v>
                </c:pt>
                <c:pt idx="1825">
                  <c:v>12.492</c:v>
                </c:pt>
                <c:pt idx="1826">
                  <c:v>11.916</c:v>
                </c:pt>
                <c:pt idx="1827">
                  <c:v>11.7</c:v>
                </c:pt>
                <c:pt idx="1828">
                  <c:v>11.808</c:v>
                </c:pt>
                <c:pt idx="1829">
                  <c:v>12.78</c:v>
                </c:pt>
                <c:pt idx="1830">
                  <c:v>13.032</c:v>
                </c:pt>
                <c:pt idx="1831">
                  <c:v>12.276</c:v>
                </c:pt>
                <c:pt idx="1832">
                  <c:v>12.204</c:v>
                </c:pt>
                <c:pt idx="1833">
                  <c:v>12.24</c:v>
                </c:pt>
                <c:pt idx="1834">
                  <c:v>12.852</c:v>
                </c:pt>
                <c:pt idx="1835">
                  <c:v>11.628</c:v>
                </c:pt>
                <c:pt idx="1836">
                  <c:v>11.628</c:v>
                </c:pt>
                <c:pt idx="1837">
                  <c:v>11.88</c:v>
                </c:pt>
                <c:pt idx="1838">
                  <c:v>11.916</c:v>
                </c:pt>
                <c:pt idx="1839">
                  <c:v>11.628</c:v>
                </c:pt>
                <c:pt idx="1840">
                  <c:v>12.384</c:v>
                </c:pt>
                <c:pt idx="1841">
                  <c:v>10.908</c:v>
                </c:pt>
                <c:pt idx="1842">
                  <c:v>11.376</c:v>
                </c:pt>
                <c:pt idx="1843">
                  <c:v>11.484</c:v>
                </c:pt>
                <c:pt idx="1844">
                  <c:v>11.448</c:v>
                </c:pt>
                <c:pt idx="1845">
                  <c:v>11.448</c:v>
                </c:pt>
                <c:pt idx="1846">
                  <c:v>11.916</c:v>
                </c:pt>
                <c:pt idx="1847">
                  <c:v>11.772</c:v>
                </c:pt>
                <c:pt idx="1848">
                  <c:v>13.896</c:v>
                </c:pt>
                <c:pt idx="1849">
                  <c:v>12.24</c:v>
                </c:pt>
                <c:pt idx="1850">
                  <c:v>12.672</c:v>
                </c:pt>
                <c:pt idx="1851">
                  <c:v>11.88</c:v>
                </c:pt>
                <c:pt idx="1852">
                  <c:v>11.16</c:v>
                </c:pt>
                <c:pt idx="1853">
                  <c:v>12.276</c:v>
                </c:pt>
                <c:pt idx="1854">
                  <c:v>11.592</c:v>
                </c:pt>
                <c:pt idx="1855">
                  <c:v>13.428</c:v>
                </c:pt>
                <c:pt idx="1856">
                  <c:v>15.588</c:v>
                </c:pt>
                <c:pt idx="1857">
                  <c:v>13.968</c:v>
                </c:pt>
                <c:pt idx="1858">
                  <c:v>12.42</c:v>
                </c:pt>
                <c:pt idx="1859">
                  <c:v>12.384</c:v>
                </c:pt>
                <c:pt idx="1860">
                  <c:v>13.356</c:v>
                </c:pt>
                <c:pt idx="1861">
                  <c:v>13.14</c:v>
                </c:pt>
                <c:pt idx="1862">
                  <c:v>13.5</c:v>
                </c:pt>
                <c:pt idx="1863">
                  <c:v>12.024</c:v>
                </c:pt>
                <c:pt idx="1864">
                  <c:v>12.888</c:v>
                </c:pt>
                <c:pt idx="1865">
                  <c:v>14.004</c:v>
                </c:pt>
                <c:pt idx="1866">
                  <c:v>14.22</c:v>
                </c:pt>
                <c:pt idx="1867">
                  <c:v>13.716</c:v>
                </c:pt>
                <c:pt idx="1868">
                  <c:v>13.176</c:v>
                </c:pt>
                <c:pt idx="1869">
                  <c:v>14.004</c:v>
                </c:pt>
                <c:pt idx="1870">
                  <c:v>14.616</c:v>
                </c:pt>
                <c:pt idx="1871">
                  <c:v>13.896</c:v>
                </c:pt>
                <c:pt idx="1872">
                  <c:v>16.596</c:v>
                </c:pt>
                <c:pt idx="1873">
                  <c:v>13.752</c:v>
                </c:pt>
                <c:pt idx="1874">
                  <c:v>11.628</c:v>
                </c:pt>
                <c:pt idx="1875">
                  <c:v>13.932</c:v>
                </c:pt>
                <c:pt idx="1876">
                  <c:v>12.6</c:v>
                </c:pt>
                <c:pt idx="1877">
                  <c:v>11.124</c:v>
                </c:pt>
                <c:pt idx="1878">
                  <c:v>12.024</c:v>
                </c:pt>
                <c:pt idx="1879">
                  <c:v>11.52</c:v>
                </c:pt>
                <c:pt idx="1880">
                  <c:v>13.968</c:v>
                </c:pt>
                <c:pt idx="1881">
                  <c:v>12.528</c:v>
                </c:pt>
                <c:pt idx="1882">
                  <c:v>12.888</c:v>
                </c:pt>
                <c:pt idx="1883">
                  <c:v>12.6</c:v>
                </c:pt>
                <c:pt idx="1884">
                  <c:v>11.628</c:v>
                </c:pt>
                <c:pt idx="1885">
                  <c:v>13.716</c:v>
                </c:pt>
                <c:pt idx="1886">
                  <c:v>12.492</c:v>
                </c:pt>
                <c:pt idx="1887">
                  <c:v>14.544</c:v>
                </c:pt>
                <c:pt idx="1888">
                  <c:v>14.22</c:v>
                </c:pt>
                <c:pt idx="1889">
                  <c:v>14.4</c:v>
                </c:pt>
                <c:pt idx="1890">
                  <c:v>14.544</c:v>
                </c:pt>
                <c:pt idx="1891">
                  <c:v>12.132</c:v>
                </c:pt>
                <c:pt idx="1892">
                  <c:v>12.564</c:v>
                </c:pt>
                <c:pt idx="1893">
                  <c:v>12.456</c:v>
                </c:pt>
                <c:pt idx="1894">
                  <c:v>13.968</c:v>
                </c:pt>
                <c:pt idx="1895">
                  <c:v>13.248</c:v>
                </c:pt>
                <c:pt idx="1896">
                  <c:v>12.132</c:v>
                </c:pt>
                <c:pt idx="1897">
                  <c:v>12.456</c:v>
                </c:pt>
                <c:pt idx="1898">
                  <c:v>13.032</c:v>
                </c:pt>
                <c:pt idx="1899">
                  <c:v>15.12</c:v>
                </c:pt>
                <c:pt idx="1900">
                  <c:v>18.864</c:v>
                </c:pt>
                <c:pt idx="1901">
                  <c:v>16.128</c:v>
                </c:pt>
                <c:pt idx="1902">
                  <c:v>14.868</c:v>
                </c:pt>
                <c:pt idx="1903">
                  <c:v>13.176</c:v>
                </c:pt>
                <c:pt idx="1904">
                  <c:v>13.464</c:v>
                </c:pt>
                <c:pt idx="1905">
                  <c:v>12.42</c:v>
                </c:pt>
                <c:pt idx="1906">
                  <c:v>11.736</c:v>
                </c:pt>
                <c:pt idx="1907">
                  <c:v>13.5</c:v>
                </c:pt>
                <c:pt idx="1908">
                  <c:v>15.732</c:v>
                </c:pt>
                <c:pt idx="1909">
                  <c:v>14.436</c:v>
                </c:pt>
                <c:pt idx="1910">
                  <c:v>12.132</c:v>
                </c:pt>
                <c:pt idx="1911">
                  <c:v>15.372</c:v>
                </c:pt>
                <c:pt idx="1912">
                  <c:v>12.924</c:v>
                </c:pt>
                <c:pt idx="1913">
                  <c:v>15.588</c:v>
                </c:pt>
                <c:pt idx="1914">
                  <c:v>14.94</c:v>
                </c:pt>
                <c:pt idx="1915">
                  <c:v>13.356</c:v>
                </c:pt>
                <c:pt idx="1916">
                  <c:v>14.4</c:v>
                </c:pt>
                <c:pt idx="1917">
                  <c:v>14.112</c:v>
                </c:pt>
                <c:pt idx="1918">
                  <c:v>14.328</c:v>
                </c:pt>
                <c:pt idx="1919">
                  <c:v>13.716</c:v>
                </c:pt>
                <c:pt idx="1920">
                  <c:v>15.768</c:v>
                </c:pt>
                <c:pt idx="1921">
                  <c:v>13.104</c:v>
                </c:pt>
                <c:pt idx="1922">
                  <c:v>14.472</c:v>
                </c:pt>
                <c:pt idx="1923">
                  <c:v>14.292</c:v>
                </c:pt>
                <c:pt idx="1924">
                  <c:v>14.508</c:v>
                </c:pt>
                <c:pt idx="1925">
                  <c:v>14.004</c:v>
                </c:pt>
                <c:pt idx="1926">
                  <c:v>16.56</c:v>
                </c:pt>
                <c:pt idx="1927">
                  <c:v>12.456</c:v>
                </c:pt>
                <c:pt idx="1928">
                  <c:v>15.192</c:v>
                </c:pt>
                <c:pt idx="1929">
                  <c:v>15.552</c:v>
                </c:pt>
                <c:pt idx="1930">
                  <c:v>15.084</c:v>
                </c:pt>
                <c:pt idx="1931">
                  <c:v>15.804</c:v>
                </c:pt>
                <c:pt idx="1932">
                  <c:v>14.868</c:v>
                </c:pt>
                <c:pt idx="1933">
                  <c:v>16.056</c:v>
                </c:pt>
                <c:pt idx="1934">
                  <c:v>15.012</c:v>
                </c:pt>
                <c:pt idx="1935">
                  <c:v>15.948</c:v>
                </c:pt>
                <c:pt idx="1936">
                  <c:v>16.236</c:v>
                </c:pt>
                <c:pt idx="1937">
                  <c:v>15.084</c:v>
                </c:pt>
                <c:pt idx="1938">
                  <c:v>14.976</c:v>
                </c:pt>
                <c:pt idx="1939">
                  <c:v>14.652</c:v>
                </c:pt>
                <c:pt idx="1940">
                  <c:v>15.588</c:v>
                </c:pt>
                <c:pt idx="1941">
                  <c:v>15.156</c:v>
                </c:pt>
                <c:pt idx="1942">
                  <c:v>16.056</c:v>
                </c:pt>
                <c:pt idx="1943">
                  <c:v>15.048</c:v>
                </c:pt>
                <c:pt idx="1944">
                  <c:v>14.436</c:v>
                </c:pt>
                <c:pt idx="1945">
                  <c:v>15.408</c:v>
                </c:pt>
                <c:pt idx="1946">
                  <c:v>14.796</c:v>
                </c:pt>
                <c:pt idx="1947">
                  <c:v>15.84</c:v>
                </c:pt>
                <c:pt idx="1948">
                  <c:v>16.452</c:v>
                </c:pt>
                <c:pt idx="1949">
                  <c:v>13.788</c:v>
                </c:pt>
                <c:pt idx="1950">
                  <c:v>13.788</c:v>
                </c:pt>
                <c:pt idx="1951">
                  <c:v>15.84</c:v>
                </c:pt>
                <c:pt idx="1952">
                  <c:v>16.884</c:v>
                </c:pt>
                <c:pt idx="1953">
                  <c:v>15.948</c:v>
                </c:pt>
                <c:pt idx="1954">
                  <c:v>15.66</c:v>
                </c:pt>
                <c:pt idx="1955">
                  <c:v>14.868</c:v>
                </c:pt>
                <c:pt idx="1956">
                  <c:v>14.688</c:v>
                </c:pt>
                <c:pt idx="1957">
                  <c:v>19.296</c:v>
                </c:pt>
                <c:pt idx="1958">
                  <c:v>17.568</c:v>
                </c:pt>
                <c:pt idx="1959">
                  <c:v>15.264</c:v>
                </c:pt>
                <c:pt idx="1960">
                  <c:v>15.948</c:v>
                </c:pt>
                <c:pt idx="1961">
                  <c:v>17.856</c:v>
                </c:pt>
                <c:pt idx="1962">
                  <c:v>17.244</c:v>
                </c:pt>
                <c:pt idx="1963">
                  <c:v>14.364</c:v>
                </c:pt>
                <c:pt idx="1964">
                  <c:v>15.12</c:v>
                </c:pt>
                <c:pt idx="1965">
                  <c:v>17.208</c:v>
                </c:pt>
                <c:pt idx="1966">
                  <c:v>15.912</c:v>
                </c:pt>
                <c:pt idx="1967">
                  <c:v>14.22</c:v>
                </c:pt>
                <c:pt idx="1968">
                  <c:v>15.768</c:v>
                </c:pt>
                <c:pt idx="1969">
                  <c:v>16.632</c:v>
                </c:pt>
                <c:pt idx="1970">
                  <c:v>16.992</c:v>
                </c:pt>
                <c:pt idx="1971">
                  <c:v>14.94</c:v>
                </c:pt>
                <c:pt idx="1972">
                  <c:v>17.712</c:v>
                </c:pt>
                <c:pt idx="1973">
                  <c:v>15.912</c:v>
                </c:pt>
                <c:pt idx="1974">
                  <c:v>15.444</c:v>
                </c:pt>
                <c:pt idx="1975">
                  <c:v>15.624</c:v>
                </c:pt>
                <c:pt idx="1976">
                  <c:v>15.048</c:v>
                </c:pt>
                <c:pt idx="1977">
                  <c:v>18.324</c:v>
                </c:pt>
                <c:pt idx="1978">
                  <c:v>14.724</c:v>
                </c:pt>
                <c:pt idx="1979">
                  <c:v>15.228</c:v>
                </c:pt>
                <c:pt idx="1980">
                  <c:v>17.928</c:v>
                </c:pt>
                <c:pt idx="1981">
                  <c:v>18.288</c:v>
                </c:pt>
                <c:pt idx="1982">
                  <c:v>16.596</c:v>
                </c:pt>
                <c:pt idx="1983">
                  <c:v>18.936</c:v>
                </c:pt>
                <c:pt idx="1984">
                  <c:v>16.596</c:v>
                </c:pt>
                <c:pt idx="1985">
                  <c:v>18</c:v>
                </c:pt>
                <c:pt idx="1986">
                  <c:v>16.74</c:v>
                </c:pt>
                <c:pt idx="1987">
                  <c:v>17.568</c:v>
                </c:pt>
                <c:pt idx="1988">
                  <c:v>15.732</c:v>
                </c:pt>
                <c:pt idx="1989">
                  <c:v>18.252</c:v>
                </c:pt>
                <c:pt idx="1990">
                  <c:v>16.632</c:v>
                </c:pt>
                <c:pt idx="1991">
                  <c:v>16.668</c:v>
                </c:pt>
                <c:pt idx="1992">
                  <c:v>14.076</c:v>
                </c:pt>
                <c:pt idx="1993">
                  <c:v>17.82</c:v>
                </c:pt>
                <c:pt idx="1994">
                  <c:v>18</c:v>
                </c:pt>
                <c:pt idx="1995">
                  <c:v>16.2</c:v>
                </c:pt>
                <c:pt idx="1996">
                  <c:v>18.9</c:v>
                </c:pt>
                <c:pt idx="1997">
                  <c:v>16.092</c:v>
                </c:pt>
                <c:pt idx="1998">
                  <c:v>20.844</c:v>
                </c:pt>
                <c:pt idx="1999">
                  <c:v>18.108</c:v>
                </c:pt>
                <c:pt idx="2000">
                  <c:v>18.468</c:v>
                </c:pt>
                <c:pt idx="2001">
                  <c:v>16.2</c:v>
                </c:pt>
                <c:pt idx="2002">
                  <c:v>16.632</c:v>
                </c:pt>
                <c:pt idx="2003">
                  <c:v>18.072</c:v>
                </c:pt>
                <c:pt idx="2004">
                  <c:v>18.072</c:v>
                </c:pt>
                <c:pt idx="2005">
                  <c:v>16.524</c:v>
                </c:pt>
                <c:pt idx="2006">
                  <c:v>20.88</c:v>
                </c:pt>
                <c:pt idx="2007">
                  <c:v>15.804</c:v>
                </c:pt>
                <c:pt idx="2008">
                  <c:v>18.252</c:v>
                </c:pt>
                <c:pt idx="2009">
                  <c:v>18.612</c:v>
                </c:pt>
                <c:pt idx="2010">
                  <c:v>19.44</c:v>
                </c:pt>
                <c:pt idx="2011">
                  <c:v>16.524</c:v>
                </c:pt>
                <c:pt idx="2012">
                  <c:v>16.956</c:v>
                </c:pt>
                <c:pt idx="2013">
                  <c:v>17.928</c:v>
                </c:pt>
                <c:pt idx="2014">
                  <c:v>19.908</c:v>
                </c:pt>
                <c:pt idx="2015">
                  <c:v>21.276</c:v>
                </c:pt>
                <c:pt idx="2016">
                  <c:v>17.28</c:v>
                </c:pt>
                <c:pt idx="2017">
                  <c:v>18.108</c:v>
                </c:pt>
                <c:pt idx="2018">
                  <c:v>18.9</c:v>
                </c:pt>
                <c:pt idx="2019">
                  <c:v>19.08</c:v>
                </c:pt>
                <c:pt idx="2020">
                  <c:v>16.524</c:v>
                </c:pt>
                <c:pt idx="2021">
                  <c:v>19.368</c:v>
                </c:pt>
                <c:pt idx="2022">
                  <c:v>19.404</c:v>
                </c:pt>
                <c:pt idx="2023">
                  <c:v>20.34</c:v>
                </c:pt>
                <c:pt idx="2024">
                  <c:v>20.7</c:v>
                </c:pt>
                <c:pt idx="2025">
                  <c:v>18.756</c:v>
                </c:pt>
                <c:pt idx="2026">
                  <c:v>18.576</c:v>
                </c:pt>
                <c:pt idx="2027">
                  <c:v>19.98</c:v>
                </c:pt>
                <c:pt idx="2028">
                  <c:v>17.496</c:v>
                </c:pt>
                <c:pt idx="2029">
                  <c:v>18.612</c:v>
                </c:pt>
                <c:pt idx="2030">
                  <c:v>17.604</c:v>
                </c:pt>
                <c:pt idx="2031">
                  <c:v>19.944</c:v>
                </c:pt>
                <c:pt idx="2032">
                  <c:v>18.72</c:v>
                </c:pt>
                <c:pt idx="2033">
                  <c:v>20.52</c:v>
                </c:pt>
                <c:pt idx="2034">
                  <c:v>19.332</c:v>
                </c:pt>
                <c:pt idx="2035">
                  <c:v>18.756</c:v>
                </c:pt>
                <c:pt idx="2036">
                  <c:v>16.596</c:v>
                </c:pt>
                <c:pt idx="2037">
                  <c:v>17.244</c:v>
                </c:pt>
                <c:pt idx="2038">
                  <c:v>17.64</c:v>
                </c:pt>
                <c:pt idx="2039">
                  <c:v>18.756</c:v>
                </c:pt>
                <c:pt idx="2040">
                  <c:v>18.864</c:v>
                </c:pt>
                <c:pt idx="2041">
                  <c:v>19.764</c:v>
                </c:pt>
                <c:pt idx="2042">
                  <c:v>19.404</c:v>
                </c:pt>
                <c:pt idx="2043">
                  <c:v>19.44</c:v>
                </c:pt>
                <c:pt idx="2044">
                  <c:v>17.856</c:v>
                </c:pt>
                <c:pt idx="2045">
                  <c:v>18.432</c:v>
                </c:pt>
                <c:pt idx="2046">
                  <c:v>18.396</c:v>
                </c:pt>
                <c:pt idx="2047">
                  <c:v>18</c:v>
                </c:pt>
                <c:pt idx="2048">
                  <c:v>18.072</c:v>
                </c:pt>
                <c:pt idx="2049">
                  <c:v>17.208</c:v>
                </c:pt>
                <c:pt idx="2050">
                  <c:v>18.108</c:v>
                </c:pt>
                <c:pt idx="2051">
                  <c:v>18.144</c:v>
                </c:pt>
                <c:pt idx="2052">
                  <c:v>17.568</c:v>
                </c:pt>
                <c:pt idx="2053">
                  <c:v>18.072</c:v>
                </c:pt>
                <c:pt idx="2054">
                  <c:v>17.1</c:v>
                </c:pt>
                <c:pt idx="2055">
                  <c:v>17.064</c:v>
                </c:pt>
                <c:pt idx="2056">
                  <c:v>17.568</c:v>
                </c:pt>
                <c:pt idx="2057">
                  <c:v>17.208</c:v>
                </c:pt>
                <c:pt idx="2058">
                  <c:v>17.208</c:v>
                </c:pt>
                <c:pt idx="2059">
                  <c:v>16.344</c:v>
                </c:pt>
                <c:pt idx="2060">
                  <c:v>15.732</c:v>
                </c:pt>
                <c:pt idx="2061">
                  <c:v>15.876</c:v>
                </c:pt>
                <c:pt idx="2062">
                  <c:v>15.156</c:v>
                </c:pt>
                <c:pt idx="2063">
                  <c:v>15.12</c:v>
                </c:pt>
                <c:pt idx="2064">
                  <c:v>16.524</c:v>
                </c:pt>
                <c:pt idx="2065">
                  <c:v>15.876</c:v>
                </c:pt>
                <c:pt idx="2066">
                  <c:v>16.344</c:v>
                </c:pt>
                <c:pt idx="2067">
                  <c:v>17.964</c:v>
                </c:pt>
                <c:pt idx="2068">
                  <c:v>17.604</c:v>
                </c:pt>
                <c:pt idx="2069">
                  <c:v>15.984</c:v>
                </c:pt>
                <c:pt idx="2070">
                  <c:v>15.228</c:v>
                </c:pt>
                <c:pt idx="2071">
                  <c:v>16.02</c:v>
                </c:pt>
                <c:pt idx="2072">
                  <c:v>15.66</c:v>
                </c:pt>
                <c:pt idx="2073">
                  <c:v>15.768</c:v>
                </c:pt>
                <c:pt idx="2074">
                  <c:v>15.336</c:v>
                </c:pt>
                <c:pt idx="2075">
                  <c:v>15.696</c:v>
                </c:pt>
                <c:pt idx="2076">
                  <c:v>15.48</c:v>
                </c:pt>
                <c:pt idx="2077">
                  <c:v>14.724</c:v>
                </c:pt>
                <c:pt idx="2078">
                  <c:v>14.22</c:v>
                </c:pt>
                <c:pt idx="2079">
                  <c:v>104.73528095162</c:v>
                </c:pt>
                <c:pt idx="2080">
                  <c:v>104.872513972513</c:v>
                </c:pt>
                <c:pt idx="2081">
                  <c:v>155.79883658705</c:v>
                </c:pt>
                <c:pt idx="2082">
                  <c:v>281.640942104662</c:v>
                </c:pt>
                <c:pt idx="2083">
                  <c:v>379.682812103647</c:v>
                </c:pt>
                <c:pt idx="2084">
                  <c:v>470.112364528645</c:v>
                </c:pt>
                <c:pt idx="2085">
                  <c:v>608.500857956766</c:v>
                </c:pt>
                <c:pt idx="2086">
                  <c:v>766.456709698069</c:v>
                </c:pt>
                <c:pt idx="2087">
                  <c:v>918.451988171724</c:v>
                </c:pt>
                <c:pt idx="2088">
                  <c:v>1029.988838624</c:v>
                </c:pt>
                <c:pt idx="2089">
                  <c:v>1142.05511085828</c:v>
                </c:pt>
                <c:pt idx="2090">
                  <c:v>1256.53386288726</c:v>
                </c:pt>
                <c:pt idx="2091">
                  <c:v>1373.50239267025</c:v>
                </c:pt>
                <c:pt idx="2092">
                  <c:v>1477.90830360182</c:v>
                </c:pt>
                <c:pt idx="2093">
                  <c:v>1589.45455197875</c:v>
                </c:pt>
                <c:pt idx="2094">
                  <c:v>1703.77969001366</c:v>
                </c:pt>
                <c:pt idx="2095">
                  <c:v>1819.63696080315</c:v>
                </c:pt>
                <c:pt idx="2096">
                  <c:v>1927.91281054309</c:v>
                </c:pt>
                <c:pt idx="2097">
                  <c:v>2040.47988848434</c:v>
                </c:pt>
                <c:pt idx="2098">
                  <c:v>2156.44570817123</c:v>
                </c:pt>
                <c:pt idx="2099">
                  <c:v>2266.93627385891</c:v>
                </c:pt>
                <c:pt idx="2100">
                  <c:v>2366.01309602202</c:v>
                </c:pt>
                <c:pt idx="2101">
                  <c:v>2490.43761064585</c:v>
                </c:pt>
                <c:pt idx="2102">
                  <c:v>2608.79202862536</c:v>
                </c:pt>
                <c:pt idx="2103">
                  <c:v>2724.88627436101</c:v>
                </c:pt>
                <c:pt idx="2104">
                  <c:v>2865.19367346347</c:v>
                </c:pt>
                <c:pt idx="2105">
                  <c:v>3011.27243287125</c:v>
                </c:pt>
                <c:pt idx="2106">
                  <c:v>3135.08139604236</c:v>
                </c:pt>
                <c:pt idx="2107">
                  <c:v>3255.35311919594</c:v>
                </c:pt>
                <c:pt idx="2108">
                  <c:v>3375.71880030048</c:v>
                </c:pt>
                <c:pt idx="2109">
                  <c:v>3500.83241660779</c:v>
                </c:pt>
                <c:pt idx="2110">
                  <c:v>3626.3395314164</c:v>
                </c:pt>
                <c:pt idx="2111">
                  <c:v>3736.34139962856</c:v>
                </c:pt>
                <c:pt idx="2112">
                  <c:v>3846.49157064971</c:v>
                </c:pt>
                <c:pt idx="2113">
                  <c:v>3955.49206405487</c:v>
                </c:pt>
                <c:pt idx="2114">
                  <c:v>4065.01649955794</c:v>
                </c:pt>
                <c:pt idx="2115">
                  <c:v>4176.38585984898</c:v>
                </c:pt>
                <c:pt idx="2116">
                  <c:v>4289.20864837984</c:v>
                </c:pt>
                <c:pt idx="2117">
                  <c:v>4406.2313458535</c:v>
                </c:pt>
                <c:pt idx="2118">
                  <c:v>4544.56113727475</c:v>
                </c:pt>
                <c:pt idx="2119">
                  <c:v>4656.7481008768</c:v>
                </c:pt>
                <c:pt idx="2120">
                  <c:v>4767.35018009249</c:v>
                </c:pt>
                <c:pt idx="2121">
                  <c:v>4875.81029824988</c:v>
                </c:pt>
                <c:pt idx="2122">
                  <c:v>4983.71783736801</c:v>
                </c:pt>
                <c:pt idx="2123">
                  <c:v>5094.21121656004</c:v>
                </c:pt>
                <c:pt idx="2124">
                  <c:v>5205.88752050222</c:v>
                </c:pt>
                <c:pt idx="2125">
                  <c:v>5320.78138617305</c:v>
                </c:pt>
                <c:pt idx="2126">
                  <c:v>5430.3595828382</c:v>
                </c:pt>
                <c:pt idx="2127">
                  <c:v>5541.60191459683</c:v>
                </c:pt>
                <c:pt idx="2128">
                  <c:v>5654.03358432601</c:v>
                </c:pt>
                <c:pt idx="2129">
                  <c:v>5770.58922584873</c:v>
                </c:pt>
                <c:pt idx="2130">
                  <c:v>5891.68548442381</c:v>
                </c:pt>
                <c:pt idx="2131">
                  <c:v>6009.88183809913</c:v>
                </c:pt>
                <c:pt idx="2132">
                  <c:v>6128.6146559141</c:v>
                </c:pt>
                <c:pt idx="2133">
                  <c:v>6247.32507421679</c:v>
                </c:pt>
                <c:pt idx="2134">
                  <c:v>6366.55558751762</c:v>
                </c:pt>
                <c:pt idx="2135">
                  <c:v>6479.41732094569</c:v>
                </c:pt>
                <c:pt idx="2136">
                  <c:v>6593.48126996646</c:v>
                </c:pt>
                <c:pt idx="2137">
                  <c:v>6708.18657089453</c:v>
                </c:pt>
                <c:pt idx="2138">
                  <c:v>6823.83719451024</c:v>
                </c:pt>
                <c:pt idx="2139">
                  <c:v>6937.72788384718</c:v>
                </c:pt>
                <c:pt idx="2140">
                  <c:v>7051.60635923524</c:v>
                </c:pt>
                <c:pt idx="2141">
                  <c:v>7167.00493906136</c:v>
                </c:pt>
                <c:pt idx="2142">
                  <c:v>7272.63751521868</c:v>
                </c:pt>
                <c:pt idx="2143">
                  <c:v>7384.03485415673</c:v>
                </c:pt>
                <c:pt idx="2144">
                  <c:v>7494.95035825968</c:v>
                </c:pt>
                <c:pt idx="2145">
                  <c:v>7609.9225925931</c:v>
                </c:pt>
                <c:pt idx="2146">
                  <c:v>7721.80631007268</c:v>
                </c:pt>
                <c:pt idx="2147">
                  <c:v>7838.51344750046</c:v>
                </c:pt>
                <c:pt idx="2148">
                  <c:v>7968.05604461438</c:v>
                </c:pt>
                <c:pt idx="2149">
                  <c:v>8089.88669346999</c:v>
                </c:pt>
                <c:pt idx="2150">
                  <c:v>8212.75763340677</c:v>
                </c:pt>
                <c:pt idx="2151">
                  <c:v>8334.91089073734</c:v>
                </c:pt>
                <c:pt idx="2152">
                  <c:v>8455.20881885742</c:v>
                </c:pt>
                <c:pt idx="2153">
                  <c:v>8576.10744423881</c:v>
                </c:pt>
                <c:pt idx="2154">
                  <c:v>8699.83334847138</c:v>
                </c:pt>
                <c:pt idx="2155">
                  <c:v>8840.42096350264</c:v>
                </c:pt>
                <c:pt idx="2156">
                  <c:v>9001.74792285644</c:v>
                </c:pt>
                <c:pt idx="2157">
                  <c:v>9141.90784710383</c:v>
                </c:pt>
                <c:pt idx="2158">
                  <c:v>9273.67000273963</c:v>
                </c:pt>
                <c:pt idx="2159">
                  <c:v>9402.64265540948</c:v>
                </c:pt>
                <c:pt idx="2160">
                  <c:v>9531.5266513551</c:v>
                </c:pt>
                <c:pt idx="2161">
                  <c:v>9663.19034218454</c:v>
                </c:pt>
                <c:pt idx="2162">
                  <c:v>9798.15355293536</c:v>
                </c:pt>
                <c:pt idx="2163">
                  <c:v>9929.2693106107</c:v>
                </c:pt>
                <c:pt idx="2164">
                  <c:v>10065.8785085491</c:v>
                </c:pt>
                <c:pt idx="2165">
                  <c:v>10208.2129715365</c:v>
                </c:pt>
                <c:pt idx="2166">
                  <c:v>10349.7874624093</c:v>
                </c:pt>
                <c:pt idx="2167">
                  <c:v>10490.0685827094</c:v>
                </c:pt>
                <c:pt idx="2168">
                  <c:v>10634.5189607832</c:v>
                </c:pt>
                <c:pt idx="2169">
                  <c:v>10781.4239945927</c:v>
                </c:pt>
                <c:pt idx="2170">
                  <c:v>10928.9484638306</c:v>
                </c:pt>
                <c:pt idx="2171">
                  <c:v>11077.5691074423</c:v>
                </c:pt>
                <c:pt idx="2172">
                  <c:v>11239.7283498384</c:v>
                </c:pt>
                <c:pt idx="2173">
                  <c:v>11400.4244263327</c:v>
                </c:pt>
                <c:pt idx="2174">
                  <c:v>11543.0109824644</c:v>
                </c:pt>
                <c:pt idx="2175">
                  <c:v>11685.369054879</c:v>
                </c:pt>
                <c:pt idx="2176">
                  <c:v>11823.7205538084</c:v>
                </c:pt>
                <c:pt idx="2177">
                  <c:v>11961.6174355356</c:v>
                </c:pt>
                <c:pt idx="2178">
                  <c:v>12099.5510315215</c:v>
                </c:pt>
                <c:pt idx="2179">
                  <c:v>12238.6040565286</c:v>
                </c:pt>
                <c:pt idx="2180">
                  <c:v>12388.4496792559</c:v>
                </c:pt>
                <c:pt idx="2181">
                  <c:v>12541.5167990391</c:v>
                </c:pt>
                <c:pt idx="2182">
                  <c:v>12685.5727782917</c:v>
                </c:pt>
                <c:pt idx="2183">
                  <c:v>12833.2663157823</c:v>
                </c:pt>
                <c:pt idx="2184">
                  <c:v>12982.3095744622</c:v>
                </c:pt>
                <c:pt idx="2185">
                  <c:v>13127.1565805636</c:v>
                </c:pt>
                <c:pt idx="2186">
                  <c:v>13274.4718562613</c:v>
                </c:pt>
                <c:pt idx="2187">
                  <c:v>13425.6222281664</c:v>
                </c:pt>
                <c:pt idx="2188">
                  <c:v>13579.4623698288</c:v>
                </c:pt>
                <c:pt idx="2189">
                  <c:v>13734.7616592649</c:v>
                </c:pt>
                <c:pt idx="2190">
                  <c:v>13887.4934790928</c:v>
                </c:pt>
                <c:pt idx="2191">
                  <c:v>14036.7815411801</c:v>
                </c:pt>
                <c:pt idx="2192">
                  <c:v>14186.5938098831</c:v>
                </c:pt>
                <c:pt idx="2193">
                  <c:v>14344.7464277686</c:v>
                </c:pt>
                <c:pt idx="2194">
                  <c:v>14497.1393651374</c:v>
                </c:pt>
                <c:pt idx="2195">
                  <c:v>14651.5285724883</c:v>
                </c:pt>
                <c:pt idx="2196">
                  <c:v>14807.9733413852</c:v>
                </c:pt>
                <c:pt idx="2197">
                  <c:v>14964.238997975</c:v>
                </c:pt>
                <c:pt idx="2198">
                  <c:v>15124.1610238275</c:v>
                </c:pt>
                <c:pt idx="2199">
                  <c:v>15283.1251238553</c:v>
                </c:pt>
                <c:pt idx="2200">
                  <c:v>15458.0247043896</c:v>
                </c:pt>
                <c:pt idx="2201">
                  <c:v>15651.4413601875</c:v>
                </c:pt>
                <c:pt idx="2202">
                  <c:v>15816.2762011968</c:v>
                </c:pt>
                <c:pt idx="2203">
                  <c:v>15975.7060337015</c:v>
                </c:pt>
                <c:pt idx="2204">
                  <c:v>16131.1197896421</c:v>
                </c:pt>
                <c:pt idx="2205">
                  <c:v>16289.378624287</c:v>
                </c:pt>
                <c:pt idx="2206">
                  <c:v>16444.2275417596</c:v>
                </c:pt>
                <c:pt idx="2207">
                  <c:v>16600.9756410849</c:v>
                </c:pt>
                <c:pt idx="2208">
                  <c:v>16772.8763553689</c:v>
                </c:pt>
                <c:pt idx="2209">
                  <c:v>16932.8714042485</c:v>
                </c:pt>
                <c:pt idx="2210">
                  <c:v>17090.0082782334</c:v>
                </c:pt>
                <c:pt idx="2211">
                  <c:v>17250.0542614002</c:v>
                </c:pt>
                <c:pt idx="2212">
                  <c:v>17411.0870895208</c:v>
                </c:pt>
                <c:pt idx="2213">
                  <c:v>17565.8633143099</c:v>
                </c:pt>
                <c:pt idx="2214">
                  <c:v>17724.514440511</c:v>
                </c:pt>
                <c:pt idx="2215">
                  <c:v>17885.0583395544</c:v>
                </c:pt>
                <c:pt idx="2216">
                  <c:v>18049.7337947151</c:v>
                </c:pt>
                <c:pt idx="2217">
                  <c:v>18215.3768744859</c:v>
                </c:pt>
                <c:pt idx="2218">
                  <c:v>18374.029495055</c:v>
                </c:pt>
                <c:pt idx="2219">
                  <c:v>18533.3344334507</c:v>
                </c:pt>
                <c:pt idx="2220">
                  <c:v>18693.2731520693</c:v>
                </c:pt>
                <c:pt idx="2221">
                  <c:v>18845.426893833</c:v>
                </c:pt>
                <c:pt idx="2222">
                  <c:v>19001.5275446624</c:v>
                </c:pt>
                <c:pt idx="2223">
                  <c:v>19154.2822739661</c:v>
                </c:pt>
                <c:pt idx="2224">
                  <c:v>19309.784696744</c:v>
                </c:pt>
                <c:pt idx="2225">
                  <c:v>19468.1354753478</c:v>
                </c:pt>
                <c:pt idx="2226">
                  <c:v>19628.1279449292</c:v>
                </c:pt>
                <c:pt idx="2227">
                  <c:v>19800.5072754928</c:v>
                </c:pt>
                <c:pt idx="2228">
                  <c:v>19969.5623299425</c:v>
                </c:pt>
                <c:pt idx="2229">
                  <c:v>20140.5961149495</c:v>
                </c:pt>
                <c:pt idx="2230">
                  <c:v>20313.6606622581</c:v>
                </c:pt>
                <c:pt idx="2231">
                  <c:v>20481.5617649517</c:v>
                </c:pt>
                <c:pt idx="2232">
                  <c:v>20646.878182267</c:v>
                </c:pt>
                <c:pt idx="2233">
                  <c:v>20810.9003495434</c:v>
                </c:pt>
                <c:pt idx="2234">
                  <c:v>20981.1647591242</c:v>
                </c:pt>
                <c:pt idx="2235">
                  <c:v>21148.5864518257</c:v>
                </c:pt>
                <c:pt idx="2236">
                  <c:v>21319.3145454672</c:v>
                </c:pt>
                <c:pt idx="2237">
                  <c:v>21488.5965974225</c:v>
                </c:pt>
                <c:pt idx="2238">
                  <c:v>21657.9384384915</c:v>
                </c:pt>
                <c:pt idx="2239">
                  <c:v>21832.3577008412</c:v>
                </c:pt>
                <c:pt idx="2240">
                  <c:v>21999.9984107042</c:v>
                </c:pt>
                <c:pt idx="2241">
                  <c:v>22169.192633647</c:v>
                </c:pt>
                <c:pt idx="2242">
                  <c:v>22330.9892737759</c:v>
                </c:pt>
                <c:pt idx="2243">
                  <c:v>22492.2140196057</c:v>
                </c:pt>
                <c:pt idx="2244">
                  <c:v>22650.9137161148</c:v>
                </c:pt>
                <c:pt idx="2245">
                  <c:v>22816.3771401044</c:v>
                </c:pt>
                <c:pt idx="2246">
                  <c:v>22987.0053198466</c:v>
                </c:pt>
                <c:pt idx="2247">
                  <c:v>23159.0936981327</c:v>
                </c:pt>
                <c:pt idx="2248">
                  <c:v>23328.6324108708</c:v>
                </c:pt>
                <c:pt idx="2249">
                  <c:v>23503.6177210536</c:v>
                </c:pt>
                <c:pt idx="2250">
                  <c:v>23682.2181636668</c:v>
                </c:pt>
                <c:pt idx="2251">
                  <c:v>23860.3011647007</c:v>
                </c:pt>
                <c:pt idx="2252">
                  <c:v>24031.1989603502</c:v>
                </c:pt>
                <c:pt idx="2253">
                  <c:v>24207.7728798627</c:v>
                </c:pt>
                <c:pt idx="2254">
                  <c:v>24383.4760614778</c:v>
                </c:pt>
                <c:pt idx="2255">
                  <c:v>24565.1480745011</c:v>
                </c:pt>
                <c:pt idx="2256">
                  <c:v>24736.4851878362</c:v>
                </c:pt>
                <c:pt idx="2257">
                  <c:v>24920.967842822</c:v>
                </c:pt>
                <c:pt idx="2258">
                  <c:v>25109.4732298114</c:v>
                </c:pt>
                <c:pt idx="2259">
                  <c:v>25292.0634394097</c:v>
                </c:pt>
                <c:pt idx="2260">
                  <c:v>25476.0108044661</c:v>
                </c:pt>
                <c:pt idx="2261">
                  <c:v>25663.9573369352</c:v>
                </c:pt>
                <c:pt idx="2262">
                  <c:v>25842.6000540925</c:v>
                </c:pt>
                <c:pt idx="2263">
                  <c:v>26027.7641716039</c:v>
                </c:pt>
                <c:pt idx="2264">
                  <c:v>26205.7353326813</c:v>
                </c:pt>
                <c:pt idx="2265">
                  <c:v>26387.4473753262</c:v>
                </c:pt>
                <c:pt idx="2266">
                  <c:v>26564.2707062258</c:v>
                </c:pt>
                <c:pt idx="2267">
                  <c:v>26741.7964512548</c:v>
                </c:pt>
                <c:pt idx="2268">
                  <c:v>26919.9920350807</c:v>
                </c:pt>
                <c:pt idx="2269">
                  <c:v>27092.5935613507</c:v>
                </c:pt>
                <c:pt idx="2270">
                  <c:v>27271.8891999212</c:v>
                </c:pt>
                <c:pt idx="2271">
                  <c:v>27458.2292268492</c:v>
                </c:pt>
                <c:pt idx="2272">
                  <c:v>27638.7201248775</c:v>
                </c:pt>
                <c:pt idx="2273">
                  <c:v>27826.4480129359</c:v>
                </c:pt>
                <c:pt idx="2274">
                  <c:v>28004.4940681611</c:v>
                </c:pt>
                <c:pt idx="2275">
                  <c:v>28168.637314506</c:v>
                </c:pt>
                <c:pt idx="2276">
                  <c:v>28350.3481869635</c:v>
                </c:pt>
                <c:pt idx="2277">
                  <c:v>28521.2578119521</c:v>
                </c:pt>
                <c:pt idx="2278">
                  <c:v>28695.6144618517</c:v>
                </c:pt>
                <c:pt idx="2279">
                  <c:v>28865.9128115195</c:v>
                </c:pt>
                <c:pt idx="2280">
                  <c:v>29043.5337087941</c:v>
                </c:pt>
                <c:pt idx="2281">
                  <c:v>29240.8311806656</c:v>
                </c:pt>
                <c:pt idx="2282">
                  <c:v>29422.3325986129</c:v>
                </c:pt>
                <c:pt idx="2283">
                  <c:v>29607.726407916</c:v>
                </c:pt>
                <c:pt idx="2284">
                  <c:v>29792.9276480563</c:v>
                </c:pt>
                <c:pt idx="2285">
                  <c:v>29973.4903527551</c:v>
                </c:pt>
                <c:pt idx="2286">
                  <c:v>30149.033439768</c:v>
                </c:pt>
                <c:pt idx="2287">
                  <c:v>30323.6898850694</c:v>
                </c:pt>
                <c:pt idx="2288">
                  <c:v>30492.716352431</c:v>
                </c:pt>
                <c:pt idx="2289">
                  <c:v>30679.243544887</c:v>
                </c:pt>
                <c:pt idx="2290">
                  <c:v>30860.2515895524</c:v>
                </c:pt>
                <c:pt idx="2291">
                  <c:v>31050.0496994203</c:v>
                </c:pt>
                <c:pt idx="2292">
                  <c:v>31239.0777132796</c:v>
                </c:pt>
                <c:pt idx="2293">
                  <c:v>31422.0517389971</c:v>
                </c:pt>
                <c:pt idx="2294">
                  <c:v>31608.9822648837</c:v>
                </c:pt>
                <c:pt idx="2295">
                  <c:v>31773.253955712</c:v>
                </c:pt>
                <c:pt idx="2296">
                  <c:v>31962.5527291721</c:v>
                </c:pt>
                <c:pt idx="2297">
                  <c:v>32144.9127024807</c:v>
                </c:pt>
                <c:pt idx="2298">
                  <c:v>32331.2023786506</c:v>
                </c:pt>
                <c:pt idx="2299">
                  <c:v>32504.112142463</c:v>
                </c:pt>
                <c:pt idx="2300">
                  <c:v>32716.2749372647</c:v>
                </c:pt>
                <c:pt idx="2301">
                  <c:v>32891.0531450889</c:v>
                </c:pt>
                <c:pt idx="2302">
                  <c:v>33088.1032710652</c:v>
                </c:pt>
                <c:pt idx="2303">
                  <c:v>33264.285205298</c:v>
                </c:pt>
                <c:pt idx="2304">
                  <c:v>33457.1229401606</c:v>
                </c:pt>
                <c:pt idx="2305">
                  <c:v>33634.4329152557</c:v>
                </c:pt>
                <c:pt idx="2306">
                  <c:v>33808.6831552429</c:v>
                </c:pt>
                <c:pt idx="2307">
                  <c:v>34000.3502296778</c:v>
                </c:pt>
                <c:pt idx="2308">
                  <c:v>34175.1479352631</c:v>
                </c:pt>
                <c:pt idx="2309">
                  <c:v>34346.345608764</c:v>
                </c:pt>
                <c:pt idx="2310">
                  <c:v>34543.0843138364</c:v>
                </c:pt>
                <c:pt idx="2311">
                  <c:v>34721.8028229574</c:v>
                </c:pt>
                <c:pt idx="2312">
                  <c:v>34911.9820713376</c:v>
                </c:pt>
                <c:pt idx="2313">
                  <c:v>35090.7206626205</c:v>
                </c:pt>
                <c:pt idx="2314">
                  <c:v>35305.3711373906</c:v>
                </c:pt>
                <c:pt idx="2315">
                  <c:v>35484.2998196785</c:v>
                </c:pt>
                <c:pt idx="2316">
                  <c:v>35675.4076495829</c:v>
                </c:pt>
                <c:pt idx="2317">
                  <c:v>35862.2463556849</c:v>
                </c:pt>
                <c:pt idx="2318">
                  <c:v>36044.4399526047</c:v>
                </c:pt>
                <c:pt idx="2319">
                  <c:v>36257.4741405203</c:v>
                </c:pt>
                <c:pt idx="2320">
                  <c:v>36448.2850390719</c:v>
                </c:pt>
                <c:pt idx="2321">
                  <c:v>36634.0107639811</c:v>
                </c:pt>
                <c:pt idx="2322">
                  <c:v>36833.4146615241</c:v>
                </c:pt>
                <c:pt idx="2323">
                  <c:v>37037.5266719475</c:v>
                </c:pt>
                <c:pt idx="2324">
                  <c:v>37236.5043850772</c:v>
                </c:pt>
                <c:pt idx="2325">
                  <c:v>37440.1698698652</c:v>
                </c:pt>
                <c:pt idx="2326">
                  <c:v>37617.1398060758</c:v>
                </c:pt>
                <c:pt idx="2327">
                  <c:v>37927.6509537378</c:v>
                </c:pt>
                <c:pt idx="2328">
                  <c:v>38148.4854385674</c:v>
                </c:pt>
                <c:pt idx="2329">
                  <c:v>38363.635769513</c:v>
                </c:pt>
                <c:pt idx="2330">
                  <c:v>38549.0627169794</c:v>
                </c:pt>
                <c:pt idx="2331">
                  <c:v>38726.5884620085</c:v>
                </c:pt>
                <c:pt idx="2332">
                  <c:v>38920.0555566064</c:v>
                </c:pt>
                <c:pt idx="2333">
                  <c:v>39117.9514649792</c:v>
                </c:pt>
                <c:pt idx="2334">
                  <c:v>39320.4837142842</c:v>
                </c:pt>
                <c:pt idx="2335">
                  <c:v>39514.7660476964</c:v>
                </c:pt>
                <c:pt idx="2336">
                  <c:v>39673.3980213107</c:v>
                </c:pt>
                <c:pt idx="2337">
                  <c:v>39848.5990289884</c:v>
                </c:pt>
                <c:pt idx="2338">
                  <c:v>40013.5363051942</c:v>
                </c:pt>
                <c:pt idx="2339">
                  <c:v>40210.0265814098</c:v>
                </c:pt>
                <c:pt idx="2340">
                  <c:v>40411.0868061924</c:v>
                </c:pt>
                <c:pt idx="2341">
                  <c:v>40587.2260059782</c:v>
                </c:pt>
                <c:pt idx="2342">
                  <c:v>40797.3627403065</c:v>
                </c:pt>
                <c:pt idx="2343">
                  <c:v>40981.6368571961</c:v>
                </c:pt>
                <c:pt idx="2344">
                  <c:v>41169.9245173928</c:v>
                </c:pt>
                <c:pt idx="2345">
                  <c:v>41362.4044532169</c:v>
                </c:pt>
                <c:pt idx="2346">
                  <c:v>41526.1441962814</c:v>
                </c:pt>
                <c:pt idx="2347">
                  <c:v>41693.0451327451</c:v>
                </c:pt>
                <c:pt idx="2348">
                  <c:v>41880.4361146565</c:v>
                </c:pt>
                <c:pt idx="2349">
                  <c:v>42054.3896695961</c:v>
                </c:pt>
                <c:pt idx="2350">
                  <c:v>42231.9154146252</c:v>
                </c:pt>
                <c:pt idx="2351">
                  <c:v>42394.866416825</c:v>
                </c:pt>
                <c:pt idx="2352">
                  <c:v>42598.2922730356</c:v>
                </c:pt>
                <c:pt idx="2353">
                  <c:v>42749.3039729084</c:v>
                </c:pt>
                <c:pt idx="2354">
                  <c:v>42883.6383072622</c:v>
                </c:pt>
                <c:pt idx="2355">
                  <c:v>43079.239411175</c:v>
                </c:pt>
                <c:pt idx="2356">
                  <c:v>43259.1460189717</c:v>
                </c:pt>
                <c:pt idx="2357">
                  <c:v>43381.1979285113</c:v>
                </c:pt>
                <c:pt idx="2358">
                  <c:v>43567.5687387487</c:v>
                </c:pt>
                <c:pt idx="2359">
                  <c:v>43694.0861186271</c:v>
                </c:pt>
                <c:pt idx="2360">
                  <c:v>43865.7086281192</c:v>
                </c:pt>
                <c:pt idx="2361">
                  <c:v>44018.7250120589</c:v>
                </c:pt>
                <c:pt idx="2362">
                  <c:v>44152.0726429181</c:v>
                </c:pt>
                <c:pt idx="2363">
                  <c:v>44310.2898692369</c:v>
                </c:pt>
                <c:pt idx="2364">
                  <c:v>44425.1016496073</c:v>
                </c:pt>
                <c:pt idx="2365">
                  <c:v>44588.4436206141</c:v>
                </c:pt>
                <c:pt idx="2366">
                  <c:v>44754.9312967226</c:v>
                </c:pt>
                <c:pt idx="2367">
                  <c:v>44924.6882236157</c:v>
                </c:pt>
                <c:pt idx="2368">
                  <c:v>45097.8453712864</c:v>
                </c:pt>
                <c:pt idx="2369">
                  <c:v>45249.0772160517</c:v>
                </c:pt>
                <c:pt idx="2370">
                  <c:v>45403.0017569333</c:v>
                </c:pt>
                <c:pt idx="2371">
                  <c:v>45481.0040906057</c:v>
                </c:pt>
                <c:pt idx="2372">
                  <c:v>45639.1524031384</c:v>
                </c:pt>
                <c:pt idx="2373">
                  <c:v>45800.2477476199</c:v>
                </c:pt>
                <c:pt idx="2374">
                  <c:v>45909.3368922401</c:v>
                </c:pt>
                <c:pt idx="2375">
                  <c:v>46047.6630432483</c:v>
                </c:pt>
                <c:pt idx="2376">
                  <c:v>104.735226700222</c:v>
                </c:pt>
                <c:pt idx="2377">
                  <c:v>104.872488038182</c:v>
                </c:pt>
                <c:pt idx="2378">
                  <c:v>155.780702589741</c:v>
                </c:pt>
                <c:pt idx="2379">
                  <c:v>281.333590622832</c:v>
                </c:pt>
                <c:pt idx="2380">
                  <c:v>378.909390797701</c:v>
                </c:pt>
                <c:pt idx="2381">
                  <c:v>468.722561981147</c:v>
                </c:pt>
                <c:pt idx="2382">
                  <c:v>605.822103298468</c:v>
                </c:pt>
                <c:pt idx="2383">
                  <c:v>761.797212043399</c:v>
                </c:pt>
                <c:pt idx="2384">
                  <c:v>911.375351093861</c:v>
                </c:pt>
                <c:pt idx="2385">
                  <c:v>1020.82053532403</c:v>
                </c:pt>
                <c:pt idx="2386">
                  <c:v>1130.5149229352</c:v>
                </c:pt>
                <c:pt idx="2387">
                  <c:v>1242.29168184714</c:v>
                </c:pt>
                <c:pt idx="2388">
                  <c:v>1356.20889960499</c:v>
                </c:pt>
                <c:pt idx="2389">
                  <c:v>1457.64376448117</c:v>
                </c:pt>
                <c:pt idx="2390">
                  <c:v>1565.75850789814</c:v>
                </c:pt>
                <c:pt idx="2391">
                  <c:v>1676.29153216942</c:v>
                </c:pt>
                <c:pt idx="2392">
                  <c:v>1788.02245049114</c:v>
                </c:pt>
                <c:pt idx="2393">
                  <c:v>1892.18469468774</c:v>
                </c:pt>
                <c:pt idx="2394">
                  <c:v>2000.21224383751</c:v>
                </c:pt>
                <c:pt idx="2395">
                  <c:v>2111.22190498195</c:v>
                </c:pt>
                <c:pt idx="2396">
                  <c:v>2216.72702214224</c:v>
                </c:pt>
                <c:pt idx="2397">
                  <c:v>2311.11543098157</c:v>
                </c:pt>
                <c:pt idx="2398">
                  <c:v>2429.36084040393</c:v>
                </c:pt>
                <c:pt idx="2399">
                  <c:v>2541.53745733929</c:v>
                </c:pt>
                <c:pt idx="2400">
                  <c:v>2651.28831292681</c:v>
                </c:pt>
                <c:pt idx="2401">
                  <c:v>2783.5555485032</c:v>
                </c:pt>
                <c:pt idx="2402">
                  <c:v>2920.83005598316</c:v>
                </c:pt>
                <c:pt idx="2403">
                  <c:v>3036.83188107067</c:v>
                </c:pt>
                <c:pt idx="2404">
                  <c:v>3149.21719988102</c:v>
                </c:pt>
                <c:pt idx="2405">
                  <c:v>3261.39282692072</c:v>
                </c:pt>
                <c:pt idx="2406">
                  <c:v>3377.67872494902</c:v>
                </c:pt>
                <c:pt idx="2407">
                  <c:v>3494.00903371781</c:v>
                </c:pt>
                <c:pt idx="2408">
                  <c:v>3595.70385944048</c:v>
                </c:pt>
                <c:pt idx="2409">
                  <c:v>3697.28934680549</c:v>
                </c:pt>
                <c:pt idx="2410">
                  <c:v>3797.57237459684</c:v>
                </c:pt>
                <c:pt idx="2411">
                  <c:v>3898.09538197567</c:v>
                </c:pt>
                <c:pt idx="2412">
                  <c:v>4000.06348261815</c:v>
                </c:pt>
                <c:pt idx="2413">
                  <c:v>4103.10774693119</c:v>
                </c:pt>
                <c:pt idx="2414">
                  <c:v>4209.71787622592</c:v>
                </c:pt>
                <c:pt idx="2415">
                  <c:v>4335.38555054843</c:v>
                </c:pt>
                <c:pt idx="2416">
                  <c:v>4437.02276388123</c:v>
                </c:pt>
                <c:pt idx="2417">
                  <c:v>4536.97873344828</c:v>
                </c:pt>
                <c:pt idx="2418">
                  <c:v>4634.762873393</c:v>
                </c:pt>
                <c:pt idx="2419">
                  <c:v>4731.81742788861</c:v>
                </c:pt>
                <c:pt idx="2420">
                  <c:v>4830.95915035255</c:v>
                </c:pt>
                <c:pt idx="2421">
                  <c:v>4930.91754935399</c:v>
                </c:pt>
                <c:pt idx="2422">
                  <c:v>5033.49977723052</c:v>
                </c:pt>
                <c:pt idx="2423">
                  <c:v>5131.09453070654</c:v>
                </c:pt>
                <c:pt idx="2424">
                  <c:v>5229.93092903426</c:v>
                </c:pt>
                <c:pt idx="2425">
                  <c:v>5329.57841648371</c:v>
                </c:pt>
                <c:pt idx="2426">
                  <c:v>5432.62093502247</c:v>
                </c:pt>
                <c:pt idx="2427">
                  <c:v>5539.39799294206</c:v>
                </c:pt>
                <c:pt idx="2428">
                  <c:v>5643.34392675001</c:v>
                </c:pt>
                <c:pt idx="2429">
                  <c:v>5747.48971379182</c:v>
                </c:pt>
                <c:pt idx="2430">
                  <c:v>5851.34409295369</c:v>
                </c:pt>
                <c:pt idx="2431">
                  <c:v>5955.38067156972</c:v>
                </c:pt>
                <c:pt idx="2432">
                  <c:v>6053.60882394138</c:v>
                </c:pt>
                <c:pt idx="2433">
                  <c:v>6152.63567847706</c:v>
                </c:pt>
                <c:pt idx="2434">
                  <c:v>6251.96891333988</c:v>
                </c:pt>
                <c:pt idx="2435">
                  <c:v>6351.86718962866</c:v>
                </c:pt>
                <c:pt idx="2436">
                  <c:v>6449.99702068887</c:v>
                </c:pt>
                <c:pt idx="2437">
                  <c:v>6547.87066550886</c:v>
                </c:pt>
                <c:pt idx="2438">
                  <c:v>6646.80081499347</c:v>
                </c:pt>
                <c:pt idx="2439">
                  <c:v>6737.13862305232</c:v>
                </c:pt>
                <c:pt idx="2440">
                  <c:v>6832.17921339448</c:v>
                </c:pt>
                <c:pt idx="2441">
                  <c:v>6926.57746135972</c:v>
                </c:pt>
                <c:pt idx="2442">
                  <c:v>7024.18535411742</c:v>
                </c:pt>
                <c:pt idx="2443">
                  <c:v>7118.93432476035</c:v>
                </c:pt>
                <c:pt idx="2444">
                  <c:v>7217.51967860687</c:v>
                </c:pt>
                <c:pt idx="2445">
                  <c:v>7326.65128877868</c:v>
                </c:pt>
                <c:pt idx="2446">
                  <c:v>7429.00249532932</c:v>
                </c:pt>
                <c:pt idx="2447">
                  <c:v>7531.95002863985</c:v>
                </c:pt>
                <c:pt idx="2448">
                  <c:v>7634.02061889233</c:v>
                </c:pt>
                <c:pt idx="2449">
                  <c:v>7734.27303017308</c:v>
                </c:pt>
                <c:pt idx="2450">
                  <c:v>7834.75893566169</c:v>
                </c:pt>
                <c:pt idx="2451">
                  <c:v>7937.31826002414</c:v>
                </c:pt>
                <c:pt idx="2452">
                  <c:v>8053.5161461007</c:v>
                </c:pt>
                <c:pt idx="2453">
                  <c:v>8186.41310654971</c:v>
                </c:pt>
                <c:pt idx="2454">
                  <c:v>8301.49071377677</c:v>
                </c:pt>
                <c:pt idx="2455">
                  <c:v>8409.35008451405</c:v>
                </c:pt>
                <c:pt idx="2456">
                  <c:v>8514.62345621747</c:v>
                </c:pt>
                <c:pt idx="2457">
                  <c:v>8619.52632521736</c:v>
                </c:pt>
                <c:pt idx="2458">
                  <c:v>8726.38481083737</c:v>
                </c:pt>
                <c:pt idx="2459">
                  <c:v>8835.60022862772</c:v>
                </c:pt>
                <c:pt idx="2460">
                  <c:v>8941.39192991074</c:v>
                </c:pt>
                <c:pt idx="2461">
                  <c:v>9051.29174720656</c:v>
                </c:pt>
                <c:pt idx="2462">
                  <c:v>9165.44644524</c:v>
                </c:pt>
                <c:pt idx="2463">
                  <c:v>9278.63738743367</c:v>
                </c:pt>
                <c:pt idx="2464">
                  <c:v>9390.44687305714</c:v>
                </c:pt>
                <c:pt idx="2465">
                  <c:v>9505.21918539063</c:v>
                </c:pt>
                <c:pt idx="2466">
                  <c:v>9621.56813987678</c:v>
                </c:pt>
                <c:pt idx="2467">
                  <c:v>9738.02967994868</c:v>
                </c:pt>
                <c:pt idx="2468">
                  <c:v>9854.97479003287</c:v>
                </c:pt>
                <c:pt idx="2469">
                  <c:v>9982.13732551386</c:v>
                </c:pt>
                <c:pt idx="2470">
                  <c:v>10107.7054847274</c:v>
                </c:pt>
                <c:pt idx="2471">
                  <c:v>10218.7515380134</c:v>
                </c:pt>
                <c:pt idx="2472">
                  <c:v>10329.2724963081</c:v>
                </c:pt>
                <c:pt idx="2473">
                  <c:v>10436.3515786269</c:v>
                </c:pt>
                <c:pt idx="2474">
                  <c:v>10542.7548005995</c:v>
                </c:pt>
                <c:pt idx="2475">
                  <c:v>10648.8637347783</c:v>
                </c:pt>
                <c:pt idx="2476">
                  <c:v>10755.5082124342</c:v>
                </c:pt>
                <c:pt idx="2477">
                  <c:v>10870.0650759093</c:v>
                </c:pt>
                <c:pt idx="2478">
                  <c:v>10986.6952924967</c:v>
                </c:pt>
                <c:pt idx="2479">
                  <c:v>11096.1010610057</c:v>
                </c:pt>
                <c:pt idx="2480">
                  <c:v>11207.9098395307</c:v>
                </c:pt>
                <c:pt idx="2481">
                  <c:v>11320.3725073316</c:v>
                </c:pt>
                <c:pt idx="2482">
                  <c:v>11429.3158741355</c:v>
                </c:pt>
                <c:pt idx="2483">
                  <c:v>11539.7599828398</c:v>
                </c:pt>
                <c:pt idx="2484">
                  <c:v>11652.70767683</c:v>
                </c:pt>
                <c:pt idx="2485">
                  <c:v>11767.2800754009</c:v>
                </c:pt>
                <c:pt idx="2486">
                  <c:v>11882.5463225477</c:v>
                </c:pt>
                <c:pt idx="2487">
                  <c:v>11995.523273348</c:v>
                </c:pt>
                <c:pt idx="2488">
                  <c:v>12105.5863811641</c:v>
                </c:pt>
                <c:pt idx="2489">
                  <c:v>12215.6729678298</c:v>
                </c:pt>
                <c:pt idx="2490">
                  <c:v>12331.4950569635</c:v>
                </c:pt>
                <c:pt idx="2491">
                  <c:v>12442.718275766</c:v>
                </c:pt>
                <c:pt idx="2492">
                  <c:v>12555.0186430655</c:v>
                </c:pt>
                <c:pt idx="2493">
                  <c:v>12668.4255584798</c:v>
                </c:pt>
                <c:pt idx="2494">
                  <c:v>12781.3134367838</c:v>
                </c:pt>
                <c:pt idx="2495">
                  <c:v>12896.441372986</c:v>
                </c:pt>
                <c:pt idx="2496">
                  <c:v>13010.4787576526</c:v>
                </c:pt>
                <c:pt idx="2497">
                  <c:v>13135.4877272051</c:v>
                </c:pt>
                <c:pt idx="2498">
                  <c:v>13273.1724724912</c:v>
                </c:pt>
                <c:pt idx="2499">
                  <c:v>13390.0493164769</c:v>
                </c:pt>
                <c:pt idx="2500">
                  <c:v>13502.6909880762</c:v>
                </c:pt>
                <c:pt idx="2501">
                  <c:v>13612.1153502703</c:v>
                </c:pt>
                <c:pt idx="2502">
                  <c:v>13723.1588696731</c:v>
                </c:pt>
                <c:pt idx="2503">
                  <c:v>13831.4360150473</c:v>
                </c:pt>
                <c:pt idx="2504">
                  <c:v>13940.665909118</c:v>
                </c:pt>
                <c:pt idx="2505">
                  <c:v>14060.0224017393</c:v>
                </c:pt>
                <c:pt idx="2506">
                  <c:v>14170.7073203205</c:v>
                </c:pt>
                <c:pt idx="2507">
                  <c:v>14279.0361749999</c:v>
                </c:pt>
                <c:pt idx="2508">
                  <c:v>14388.9860473242</c:v>
                </c:pt>
                <c:pt idx="2509">
                  <c:v>14499.2236224961</c:v>
                </c:pt>
                <c:pt idx="2510">
                  <c:v>14604.810496044</c:v>
                </c:pt>
                <c:pt idx="2511">
                  <c:v>14712.6680836165</c:v>
                </c:pt>
                <c:pt idx="2512">
                  <c:v>14821.4296958726</c:v>
                </c:pt>
                <c:pt idx="2513">
                  <c:v>14932.5916573962</c:v>
                </c:pt>
                <c:pt idx="2514">
                  <c:v>15044.0010333806</c:v>
                </c:pt>
                <c:pt idx="2515">
                  <c:v>15150.3285270407</c:v>
                </c:pt>
                <c:pt idx="2516">
                  <c:v>15256.7202310895</c:v>
                </c:pt>
                <c:pt idx="2517">
                  <c:v>15363.1605555816</c:v>
                </c:pt>
                <c:pt idx="2518">
                  <c:v>15464.0726976637</c:v>
                </c:pt>
                <c:pt idx="2519">
                  <c:v>15567.2518819124</c:v>
                </c:pt>
                <c:pt idx="2520">
                  <c:v>15667.876845628</c:v>
                </c:pt>
                <c:pt idx="2521">
                  <c:v>15769.9648709358</c:v>
                </c:pt>
                <c:pt idx="2522">
                  <c:v>15873.5643734905</c:v>
                </c:pt>
                <c:pt idx="2523">
                  <c:v>15977.8718328582</c:v>
                </c:pt>
                <c:pt idx="2524">
                  <c:v>16089.8445842918</c:v>
                </c:pt>
                <c:pt idx="2525">
                  <c:v>16199.2460878548</c:v>
                </c:pt>
                <c:pt idx="2526">
                  <c:v>16309.5145850398</c:v>
                </c:pt>
                <c:pt idx="2527">
                  <c:v>16420.6705857759</c:v>
                </c:pt>
                <c:pt idx="2528">
                  <c:v>16528.1062705597</c:v>
                </c:pt>
                <c:pt idx="2529">
                  <c:v>16633.5008418299</c:v>
                </c:pt>
                <c:pt idx="2530">
                  <c:v>16737.6919353873</c:v>
                </c:pt>
                <c:pt idx="2531">
                  <c:v>16845.4510691541</c:v>
                </c:pt>
                <c:pt idx="2532">
                  <c:v>16951.0179845594</c:v>
                </c:pt>
                <c:pt idx="2533">
                  <c:v>17058.2698327704</c:v>
                </c:pt>
                <c:pt idx="2534">
                  <c:v>17164.2160591666</c:v>
                </c:pt>
                <c:pt idx="2535">
                  <c:v>17269.8054464094</c:v>
                </c:pt>
                <c:pt idx="2536">
                  <c:v>17378.1500568562</c:v>
                </c:pt>
                <c:pt idx="2537">
                  <c:v>17481.8927046466</c:v>
                </c:pt>
                <c:pt idx="2538">
                  <c:v>17586.2092839023</c:v>
                </c:pt>
                <c:pt idx="2539">
                  <c:v>17685.6021430908</c:v>
                </c:pt>
                <c:pt idx="2540">
                  <c:v>17784.2921949541</c:v>
                </c:pt>
                <c:pt idx="2541">
                  <c:v>17881.0951380186</c:v>
                </c:pt>
                <c:pt idx="2542">
                  <c:v>17981.6643452477</c:v>
                </c:pt>
                <c:pt idx="2543">
                  <c:v>18084.9897966039</c:v>
                </c:pt>
                <c:pt idx="2544">
                  <c:v>18188.8071496042</c:v>
                </c:pt>
                <c:pt idx="2545">
                  <c:v>18290.7024943203</c:v>
                </c:pt>
                <c:pt idx="2546">
                  <c:v>18395.4732996461</c:v>
                </c:pt>
                <c:pt idx="2547">
                  <c:v>18501.9932930534</c:v>
                </c:pt>
                <c:pt idx="2548">
                  <c:v>18607.7885398285</c:v>
                </c:pt>
                <c:pt idx="2549">
                  <c:v>18708.9259989697</c:v>
                </c:pt>
                <c:pt idx="2550">
                  <c:v>18813.02373283</c:v>
                </c:pt>
                <c:pt idx="2551">
                  <c:v>18916.2072897122</c:v>
                </c:pt>
                <c:pt idx="2552">
                  <c:v>19022.4772947604</c:v>
                </c:pt>
                <c:pt idx="2553">
                  <c:v>19122.3131956142</c:v>
                </c:pt>
                <c:pt idx="2554">
                  <c:v>19229.3886920463</c:v>
                </c:pt>
                <c:pt idx="2555">
                  <c:v>19338.350799108</c:v>
                </c:pt>
                <c:pt idx="2556">
                  <c:v>19443.4635490726</c:v>
                </c:pt>
                <c:pt idx="2557">
                  <c:v>19548.9312494506</c:v>
                </c:pt>
                <c:pt idx="2558">
                  <c:v>19656.2517336981</c:v>
                </c:pt>
                <c:pt idx="2559">
                  <c:v>19757.8488391653</c:v>
                </c:pt>
                <c:pt idx="2560">
                  <c:v>19862.7339671281</c:v>
                </c:pt>
                <c:pt idx="2561">
                  <c:v>19963.1425751146</c:v>
                </c:pt>
                <c:pt idx="2562">
                  <c:v>20065.2566924976</c:v>
                </c:pt>
                <c:pt idx="2563">
                  <c:v>20164.2322300635</c:v>
                </c:pt>
                <c:pt idx="2564">
                  <c:v>20263.2141555426</c:v>
                </c:pt>
                <c:pt idx="2565">
                  <c:v>20362.1813327686</c:v>
                </c:pt>
                <c:pt idx="2566">
                  <c:v>20457.6722552586</c:v>
                </c:pt>
                <c:pt idx="2567">
                  <c:v>20556.4832275523</c:v>
                </c:pt>
                <c:pt idx="2568">
                  <c:v>20658.7639825176</c:v>
                </c:pt>
                <c:pt idx="2569">
                  <c:v>20757.4350089405</c:v>
                </c:pt>
                <c:pt idx="2570">
                  <c:v>20859.6472974128</c:v>
                </c:pt>
                <c:pt idx="2571">
                  <c:v>20956.1986323195</c:v>
                </c:pt>
                <c:pt idx="2572">
                  <c:v>21044.8760985637</c:v>
                </c:pt>
                <c:pt idx="2573">
                  <c:v>21142.6714200795</c:v>
                </c:pt>
                <c:pt idx="2574">
                  <c:v>21234.29730146</c:v>
                </c:pt>
                <c:pt idx="2575">
                  <c:v>21327.4166298303</c:v>
                </c:pt>
                <c:pt idx="2576">
                  <c:v>21418.0241683898</c:v>
                </c:pt>
                <c:pt idx="2577">
                  <c:v>21512.1665018745</c:v>
                </c:pt>
                <c:pt idx="2578">
                  <c:v>21616.3071832913</c:v>
                </c:pt>
                <c:pt idx="2579">
                  <c:v>21711.7115486273</c:v>
                </c:pt>
                <c:pt idx="2580">
                  <c:v>21808.7691927866</c:v>
                </c:pt>
                <c:pt idx="2581">
                  <c:v>21905.3313597511</c:v>
                </c:pt>
                <c:pt idx="2582">
                  <c:v>21999.096808707</c:v>
                </c:pt>
                <c:pt idx="2583">
                  <c:v>22089.8990052544</c:v>
                </c:pt>
                <c:pt idx="2584">
                  <c:v>22179.8950289574</c:v>
                </c:pt>
                <c:pt idx="2585">
                  <c:v>22266.6612404832</c:v>
                </c:pt>
                <c:pt idx="2586">
                  <c:v>22362.0371341729</c:v>
                </c:pt>
                <c:pt idx="2587">
                  <c:v>22454.2173132527</c:v>
                </c:pt>
                <c:pt idx="2588">
                  <c:v>22550.4802637824</c:v>
                </c:pt>
                <c:pt idx="2589">
                  <c:v>22645.9537336197</c:v>
                </c:pt>
                <c:pt idx="2590">
                  <c:v>22737.9918728048</c:v>
                </c:pt>
                <c:pt idx="2591">
                  <c:v>22831.6381512867</c:v>
                </c:pt>
                <c:pt idx="2592">
                  <c:v>22913.6155709605</c:v>
                </c:pt>
                <c:pt idx="2593">
                  <c:v>23007.7155151987</c:v>
                </c:pt>
                <c:pt idx="2594">
                  <c:v>23097.9961439136</c:v>
                </c:pt>
                <c:pt idx="2595">
                  <c:v>23189.8488064933</c:v>
                </c:pt>
                <c:pt idx="2596">
                  <c:v>23274.7679300442</c:v>
                </c:pt>
                <c:pt idx="2597">
                  <c:v>23378.524293231</c:v>
                </c:pt>
                <c:pt idx="2598">
                  <c:v>23463.6347912643</c:v>
                </c:pt>
                <c:pt idx="2599">
                  <c:v>23559.1990158703</c:v>
                </c:pt>
                <c:pt idx="2600">
                  <c:v>23644.292424351</c:v>
                </c:pt>
                <c:pt idx="2601">
                  <c:v>23737.0528531733</c:v>
                </c:pt>
                <c:pt idx="2602">
                  <c:v>23821.9972190532</c:v>
                </c:pt>
                <c:pt idx="2603">
                  <c:v>23905.1533674393</c:v>
                </c:pt>
                <c:pt idx="2604">
                  <c:v>23996.2536041224</c:v>
                </c:pt>
                <c:pt idx="2605">
                  <c:v>24079.0013177793</c:v>
                </c:pt>
                <c:pt idx="2606">
                  <c:v>24159.7367737408</c:v>
                </c:pt>
                <c:pt idx="2607">
                  <c:v>24252.1422348903</c:v>
                </c:pt>
                <c:pt idx="2608">
                  <c:v>24335.737688536</c:v>
                </c:pt>
                <c:pt idx="2609">
                  <c:v>24424.3334608599</c:v>
                </c:pt>
                <c:pt idx="2610">
                  <c:v>24507.2621457313</c:v>
                </c:pt>
                <c:pt idx="2611">
                  <c:v>24606.4224995072</c:v>
                </c:pt>
                <c:pt idx="2612">
                  <c:v>24688.7234382139</c:v>
                </c:pt>
                <c:pt idx="2613">
                  <c:v>24776.2690961849</c:v>
                </c:pt>
                <c:pt idx="2614">
                  <c:v>24861.5037935602</c:v>
                </c:pt>
                <c:pt idx="2615">
                  <c:v>24944.2825185629</c:v>
                </c:pt>
                <c:pt idx="2616">
                  <c:v>25040.6534127971</c:v>
                </c:pt>
                <c:pt idx="2617">
                  <c:v>25126.5882673149</c:v>
                </c:pt>
                <c:pt idx="2618">
                  <c:v>25209.8870031404</c:v>
                </c:pt>
                <c:pt idx="2619">
                  <c:v>25298.9421777225</c:v>
                </c:pt>
                <c:pt idx="2620">
                  <c:v>25389.6960848411</c:v>
                </c:pt>
                <c:pt idx="2621">
                  <c:v>25477.7755081948</c:v>
                </c:pt>
                <c:pt idx="2622">
                  <c:v>25567.5313839017</c:v>
                </c:pt>
                <c:pt idx="2623">
                  <c:v>25645.1964046022</c:v>
                </c:pt>
                <c:pt idx="2624">
                  <c:v>25780.7383230709</c:v>
                </c:pt>
                <c:pt idx="2625">
                  <c:v>25876.5730990583</c:v>
                </c:pt>
                <c:pt idx="2626">
                  <c:v>25969.494184888</c:v>
                </c:pt>
                <c:pt idx="2627">
                  <c:v>26049.2257494299</c:v>
                </c:pt>
                <c:pt idx="2628">
                  <c:v>26125.2555552789</c:v>
                </c:pt>
                <c:pt idx="2629">
                  <c:v>26207.7750183405</c:v>
                </c:pt>
                <c:pt idx="2630">
                  <c:v>26291.8207072083</c:v>
                </c:pt>
                <c:pt idx="2631">
                  <c:v>26377.4571906477</c:v>
                </c:pt>
                <c:pt idx="2632">
                  <c:v>26459.2473756779</c:v>
                </c:pt>
                <c:pt idx="2633">
                  <c:v>26525.7703417302</c:v>
                </c:pt>
                <c:pt idx="2634">
                  <c:v>26598.972155163</c:v>
                </c:pt>
                <c:pt idx="2635">
                  <c:v>26667.6281087828</c:v>
                </c:pt>
                <c:pt idx="2636">
                  <c:v>26749.0934656062</c:v>
                </c:pt>
                <c:pt idx="2637">
                  <c:v>26832.0895936944</c:v>
                </c:pt>
                <c:pt idx="2638">
                  <c:v>26904.4972737109</c:v>
                </c:pt>
                <c:pt idx="2639">
                  <c:v>26990.5142853472</c:v>
                </c:pt>
                <c:pt idx="2640">
                  <c:v>27065.6179933913</c:v>
                </c:pt>
                <c:pt idx="2641">
                  <c:v>27142.0434615644</c:v>
                </c:pt>
                <c:pt idx="2642">
                  <c:v>27219.843838399</c:v>
                </c:pt>
                <c:pt idx="2643">
                  <c:v>27285.7684467915</c:v>
                </c:pt>
                <c:pt idx="2644">
                  <c:v>27352.721719451</c:v>
                </c:pt>
                <c:pt idx="2645">
                  <c:v>27427.6021460803</c:v>
                </c:pt>
                <c:pt idx="2646">
                  <c:v>27496.8371468537</c:v>
                </c:pt>
                <c:pt idx="2647">
                  <c:v>27567.2211096169</c:v>
                </c:pt>
                <c:pt idx="2648">
                  <c:v>27631.5849458696</c:v>
                </c:pt>
                <c:pt idx="2649">
                  <c:v>27711.6125704851</c:v>
                </c:pt>
                <c:pt idx="2650">
                  <c:v>27770.7891738738</c:v>
                </c:pt>
                <c:pt idx="2651">
                  <c:v>27823.265388603</c:v>
                </c:pt>
                <c:pt idx="2652">
                  <c:v>27899.3978543688</c:v>
                </c:pt>
                <c:pt idx="2653">
                  <c:v>27969.1328489313</c:v>
                </c:pt>
                <c:pt idx="2654">
                  <c:v>28016.2853520864</c:v>
                </c:pt>
                <c:pt idx="2655">
                  <c:v>28088.0423092612</c:v>
                </c:pt>
                <c:pt idx="2656">
                  <c:v>28136.5868698641</c:v>
                </c:pt>
                <c:pt idx="2657">
                  <c:v>28202.2225023658</c:v>
                </c:pt>
                <c:pt idx="2658">
                  <c:v>28260.5336473945</c:v>
                </c:pt>
                <c:pt idx="2659">
                  <c:v>28311.1895549645</c:v>
                </c:pt>
                <c:pt idx="2660">
                  <c:v>28371.1003355946</c:v>
                </c:pt>
                <c:pt idx="2661">
                  <c:v>28414.4446871617</c:v>
                </c:pt>
                <c:pt idx="2662">
                  <c:v>28475.9219359842</c:v>
                </c:pt>
                <c:pt idx="2663">
                  <c:v>28538.3560829989</c:v>
                </c:pt>
                <c:pt idx="2664">
                  <c:v>28601.7810708666</c:v>
                </c:pt>
                <c:pt idx="2665">
                  <c:v>28666.2327489978</c:v>
                </c:pt>
                <c:pt idx="2666">
                  <c:v>28722.3228793753</c:v>
                </c:pt>
                <c:pt idx="2667">
                  <c:v>28779.220284362</c:v>
                </c:pt>
                <c:pt idx="2668">
                  <c:v>28807.9799245809</c:v>
                </c:pt>
                <c:pt idx="2669">
                  <c:v>28866.1382383746</c:v>
                </c:pt>
                <c:pt idx="2670">
                  <c:v>28925.1725212636</c:v>
                </c:pt>
                <c:pt idx="2671">
                  <c:v>28965.0301321335</c:v>
                </c:pt>
                <c:pt idx="2672">
                  <c:v>29015.4325608598</c:v>
                </c:pt>
                <c:pt idx="2673">
                  <c:v>104.726796400222</c:v>
                </c:pt>
                <c:pt idx="2674">
                  <c:v>104.868845153301</c:v>
                </c:pt>
                <c:pt idx="2675">
                  <c:v>157.128873018695</c:v>
                </c:pt>
                <c:pt idx="2676">
                  <c:v>285.089619893727</c:v>
                </c:pt>
                <c:pt idx="2677">
                  <c:v>383.7900941317</c:v>
                </c:pt>
                <c:pt idx="2678">
                  <c:v>474.376828969699</c:v>
                </c:pt>
                <c:pt idx="2679">
                  <c:v>612.534860680936</c:v>
                </c:pt>
                <c:pt idx="2680">
                  <c:v>769.442021626133</c:v>
                </c:pt>
                <c:pt idx="2681">
                  <c:v>920.011742745931</c:v>
                </c:pt>
                <c:pt idx="2682">
                  <c:v>1029.88335809763</c:v>
                </c:pt>
                <c:pt idx="2683">
                  <c:v>1140.59086370319</c:v>
                </c:pt>
                <c:pt idx="2684">
                  <c:v>1254.58307378822</c:v>
                </c:pt>
                <c:pt idx="2685">
                  <c:v>1369.77865028175</c:v>
                </c:pt>
                <c:pt idx="2686">
                  <c:v>1473.56817952021</c:v>
                </c:pt>
                <c:pt idx="2687">
                  <c:v>1583.58904881671</c:v>
                </c:pt>
                <c:pt idx="2688">
                  <c:v>1695.92872600379</c:v>
                </c:pt>
                <c:pt idx="2689">
                  <c:v>1809.18516641684</c:v>
                </c:pt>
                <c:pt idx="2690">
                  <c:v>1914.84652862685</c:v>
                </c:pt>
                <c:pt idx="2691">
                  <c:v>2025.29611457965</c:v>
                </c:pt>
                <c:pt idx="2692">
                  <c:v>2137.22657442033</c:v>
                </c:pt>
                <c:pt idx="2693">
                  <c:v>2242.16805938993</c:v>
                </c:pt>
                <c:pt idx="2694">
                  <c:v>2336.66489653229</c:v>
                </c:pt>
                <c:pt idx="2695">
                  <c:v>2456.24371232846</c:v>
                </c:pt>
                <c:pt idx="2696">
                  <c:v>2570.35837787281</c:v>
                </c:pt>
                <c:pt idx="2697">
                  <c:v>2682.600788049</c:v>
                </c:pt>
                <c:pt idx="2698">
                  <c:v>2816.28236917717</c:v>
                </c:pt>
                <c:pt idx="2699">
                  <c:v>2953.04851949403</c:v>
                </c:pt>
                <c:pt idx="2700">
                  <c:v>3071.29932526259</c:v>
                </c:pt>
                <c:pt idx="2701">
                  <c:v>3186.0172002962</c:v>
                </c:pt>
                <c:pt idx="2702">
                  <c:v>3298.75044707316</c:v>
                </c:pt>
                <c:pt idx="2703">
                  <c:v>3414.40449075964</c:v>
                </c:pt>
                <c:pt idx="2704">
                  <c:v>3527.77536345784</c:v>
                </c:pt>
                <c:pt idx="2705">
                  <c:v>3630.19004312413</c:v>
                </c:pt>
                <c:pt idx="2706">
                  <c:v>3732.26424673788</c:v>
                </c:pt>
                <c:pt idx="2707">
                  <c:v>3831.85301864157</c:v>
                </c:pt>
                <c:pt idx="2708">
                  <c:v>3930.03937931198</c:v>
                </c:pt>
                <c:pt idx="2709">
                  <c:v>4030.26074985672</c:v>
                </c:pt>
                <c:pt idx="2710">
                  <c:v>4132.65912342969</c:v>
                </c:pt>
                <c:pt idx="2711">
                  <c:v>4235.1092856917</c:v>
                </c:pt>
                <c:pt idx="2712">
                  <c:v>4354.65787229919</c:v>
                </c:pt>
                <c:pt idx="2713">
                  <c:v>4452.02863364408</c:v>
                </c:pt>
                <c:pt idx="2714">
                  <c:v>4553.97291247234</c:v>
                </c:pt>
                <c:pt idx="2715">
                  <c:v>4646.96975585346</c:v>
                </c:pt>
                <c:pt idx="2716">
                  <c:v>4743.3692579445</c:v>
                </c:pt>
                <c:pt idx="2717">
                  <c:v>4847.29304585528</c:v>
                </c:pt>
                <c:pt idx="2718">
                  <c:v>4947.6855645883</c:v>
                </c:pt>
                <c:pt idx="2719">
                  <c:v>5046.46215690398</c:v>
                </c:pt>
                <c:pt idx="2720">
                  <c:v>5140.36032991747</c:v>
                </c:pt>
                <c:pt idx="2721">
                  <c:v>5233.8868629754</c:v>
                </c:pt>
                <c:pt idx="2722">
                  <c:v>5325.55071955991</c:v>
                </c:pt>
                <c:pt idx="2723">
                  <c:v>5422.09857173943</c:v>
                </c:pt>
                <c:pt idx="2724">
                  <c:v>5520.07210228027</c:v>
                </c:pt>
                <c:pt idx="2725">
                  <c:v>5633.34374784321</c:v>
                </c:pt>
                <c:pt idx="2726">
                  <c:v>5738.04694311974</c:v>
                </c:pt>
                <c:pt idx="2727">
                  <c:v>5836.58220068747</c:v>
                </c:pt>
                <c:pt idx="2728">
                  <c:v>5932.64601644371</c:v>
                </c:pt>
                <c:pt idx="2729">
                  <c:v>6026.53573367469</c:v>
                </c:pt>
                <c:pt idx="2730">
                  <c:v>6118.21611580821</c:v>
                </c:pt>
                <c:pt idx="2731">
                  <c:v>6209.2421647832</c:v>
                </c:pt>
                <c:pt idx="2732">
                  <c:v>6309.70862793445</c:v>
                </c:pt>
                <c:pt idx="2733">
                  <c:v>6411.7997731217</c:v>
                </c:pt>
                <c:pt idx="2734">
                  <c:v>6500.05688684187</c:v>
                </c:pt>
                <c:pt idx="2735">
                  <c:v>6588.36005098766</c:v>
                </c:pt>
                <c:pt idx="2736">
                  <c:v>6671.58531899942</c:v>
                </c:pt>
                <c:pt idx="2737">
                  <c:v>6756.38948182235</c:v>
                </c:pt>
                <c:pt idx="2738">
                  <c:v>6840.64347653471</c:v>
                </c:pt>
                <c:pt idx="2739">
                  <c:v>6926.37838023781</c:v>
                </c:pt>
                <c:pt idx="2740">
                  <c:v>7010.44926955486</c:v>
                </c:pt>
                <c:pt idx="2741">
                  <c:v>7100.10984214768</c:v>
                </c:pt>
                <c:pt idx="2742">
                  <c:v>7205.74703159164</c:v>
                </c:pt>
                <c:pt idx="2743">
                  <c:v>7299.09464875925</c:v>
                </c:pt>
                <c:pt idx="2744">
                  <c:v>7390.12348205798</c:v>
                </c:pt>
                <c:pt idx="2745">
                  <c:v>7474.33991822483</c:v>
                </c:pt>
                <c:pt idx="2746">
                  <c:v>7567.45143071206</c:v>
                </c:pt>
                <c:pt idx="2747">
                  <c:v>7660.67784342943</c:v>
                </c:pt>
                <c:pt idx="2748">
                  <c:v>7758.42311410225</c:v>
                </c:pt>
                <c:pt idx="2749">
                  <c:v>7861.42951773231</c:v>
                </c:pt>
                <c:pt idx="2750">
                  <c:v>7972.04341023615</c:v>
                </c:pt>
                <c:pt idx="2751">
                  <c:v>8072.01346069653</c:v>
                </c:pt>
                <c:pt idx="2752">
                  <c:v>8179.38045655564</c:v>
                </c:pt>
                <c:pt idx="2753">
                  <c:v>8278.79407867132</c:v>
                </c:pt>
                <c:pt idx="2754">
                  <c:v>8370.28972093258</c:v>
                </c:pt>
                <c:pt idx="2755">
                  <c:v>8454.45052660084</c:v>
                </c:pt>
                <c:pt idx="2756">
                  <c:v>8540.07394860609</c:v>
                </c:pt>
                <c:pt idx="2757">
                  <c:v>8633.10548913616</c:v>
                </c:pt>
                <c:pt idx="2758">
                  <c:v>8737.07672594466</c:v>
                </c:pt>
                <c:pt idx="2759">
                  <c:v>8833.05743406095</c:v>
                </c:pt>
                <c:pt idx="2760">
                  <c:v>8920.67522143691</c:v>
                </c:pt>
                <c:pt idx="2761">
                  <c:v>9027.90889871223</c:v>
                </c:pt>
                <c:pt idx="2762">
                  <c:v>9138.35527434296</c:v>
                </c:pt>
                <c:pt idx="2763">
                  <c:v>9236.67250698833</c:v>
                </c:pt>
                <c:pt idx="2764">
                  <c:v>9340.25244785153</c:v>
                </c:pt>
                <c:pt idx="2765">
                  <c:v>9447.86444774706</c:v>
                </c:pt>
                <c:pt idx="2766">
                  <c:v>9554.52220814129</c:v>
                </c:pt>
                <c:pt idx="2767">
                  <c:v>9669.8631532682</c:v>
                </c:pt>
                <c:pt idx="2768">
                  <c:v>9773.82249037301</c:v>
                </c:pt>
                <c:pt idx="2769">
                  <c:v>9861.48704926446</c:v>
                </c:pt>
                <c:pt idx="2770">
                  <c:v>9952.25821843498</c:v>
                </c:pt>
                <c:pt idx="2771">
                  <c:v>10051.4064023454</c:v>
                </c:pt>
                <c:pt idx="2772">
                  <c:v>10153.5805286083</c:v>
                </c:pt>
                <c:pt idx="2773">
                  <c:v>10244.055240686</c:v>
                </c:pt>
                <c:pt idx="2774">
                  <c:v>10326.9863295344</c:v>
                </c:pt>
                <c:pt idx="2775">
                  <c:v>10415.064544205</c:v>
                </c:pt>
                <c:pt idx="2776">
                  <c:v>10503.962456973</c:v>
                </c:pt>
                <c:pt idx="2777">
                  <c:v>10595.1592059253</c:v>
                </c:pt>
                <c:pt idx="2778">
                  <c:v>10680.2082960247</c:v>
                </c:pt>
                <c:pt idx="2779">
                  <c:v>10773.4412433589</c:v>
                </c:pt>
                <c:pt idx="2780">
                  <c:v>10855.4856499428</c:v>
                </c:pt>
                <c:pt idx="2781">
                  <c:v>10934.5231153283</c:v>
                </c:pt>
                <c:pt idx="2782">
                  <c:v>11043.625815019</c:v>
                </c:pt>
                <c:pt idx="2783">
                  <c:v>11158.1614941544</c:v>
                </c:pt>
                <c:pt idx="2784">
                  <c:v>11268.0210852853</c:v>
                </c:pt>
                <c:pt idx="2785">
                  <c:v>11380.2878660771</c:v>
                </c:pt>
                <c:pt idx="2786">
                  <c:v>11480.8738389868</c:v>
                </c:pt>
                <c:pt idx="2787">
                  <c:v>11584.5315517658</c:v>
                </c:pt>
                <c:pt idx="2788">
                  <c:v>11686.2689121322</c:v>
                </c:pt>
                <c:pt idx="2789">
                  <c:v>11773.5661580434</c:v>
                </c:pt>
                <c:pt idx="2790">
                  <c:v>11858.4041994089</c:v>
                </c:pt>
                <c:pt idx="2791">
                  <c:v>11974.0977412633</c:v>
                </c:pt>
                <c:pt idx="2792">
                  <c:v>12088.2779412507</c:v>
                </c:pt>
                <c:pt idx="2793">
                  <c:v>12185.9888561623</c:v>
                </c:pt>
                <c:pt idx="2794">
                  <c:v>12305.2731253039</c:v>
                </c:pt>
                <c:pt idx="2795">
                  <c:v>12426.5119094683</c:v>
                </c:pt>
                <c:pt idx="2796">
                  <c:v>12550.0609508236</c:v>
                </c:pt>
                <c:pt idx="2797">
                  <c:v>12666.4954844283</c:v>
                </c:pt>
                <c:pt idx="2798">
                  <c:v>12773.2254073465</c:v>
                </c:pt>
                <c:pt idx="2799">
                  <c:v>12891.0185497175</c:v>
                </c:pt>
                <c:pt idx="2800">
                  <c:v>12987.5359282711</c:v>
                </c:pt>
                <c:pt idx="2801">
                  <c:v>13082.265753224</c:v>
                </c:pt>
                <c:pt idx="2802">
                  <c:v>13219.3799543303</c:v>
                </c:pt>
                <c:pt idx="2803">
                  <c:v>13359.508960714</c:v>
                </c:pt>
                <c:pt idx="2804">
                  <c:v>13472.7350224649</c:v>
                </c:pt>
                <c:pt idx="2805">
                  <c:v>13613.2087100961</c:v>
                </c:pt>
                <c:pt idx="2806">
                  <c:v>13761.5677855147</c:v>
                </c:pt>
                <c:pt idx="2807">
                  <c:v>13885.6753342959</c:v>
                </c:pt>
                <c:pt idx="2808">
                  <c:v>14015.8592694406</c:v>
                </c:pt>
                <c:pt idx="2809">
                  <c:v>14157.6609519835</c:v>
                </c:pt>
                <c:pt idx="2810">
                  <c:v>14308.0664579709</c:v>
                </c:pt>
                <c:pt idx="2811">
                  <c:v>14451.4348557192</c:v>
                </c:pt>
                <c:pt idx="2812">
                  <c:v>14563.712140755</c:v>
                </c:pt>
                <c:pt idx="2813">
                  <c:v>14662.7535608282</c:v>
                </c:pt>
                <c:pt idx="2814">
                  <c:v>14821.6167900147</c:v>
                </c:pt>
                <c:pt idx="2815">
                  <c:v>15006.5882469884</c:v>
                </c:pt>
                <c:pt idx="2816">
                  <c:v>15121.11582106</c:v>
                </c:pt>
                <c:pt idx="2817">
                  <c:v>15244.6521955511</c:v>
                </c:pt>
                <c:pt idx="2818">
                  <c:v>15389.9142458913</c:v>
                </c:pt>
                <c:pt idx="2819">
                  <c:v>15523.5928502869</c:v>
                </c:pt>
                <c:pt idx="2820">
                  <c:v>15631.1621295158</c:v>
                </c:pt>
                <c:pt idx="2821">
                  <c:v>15757.1360707108</c:v>
                </c:pt>
                <c:pt idx="2822">
                  <c:v>15916.1462504284</c:v>
                </c:pt>
                <c:pt idx="2823">
                  <c:v>16070.3699323115</c:v>
                </c:pt>
                <c:pt idx="2824">
                  <c:v>16227.662885939</c:v>
                </c:pt>
                <c:pt idx="2825">
                  <c:v>16366.2154029684</c:v>
                </c:pt>
                <c:pt idx="2826">
                  <c:v>16498.1437382106</c:v>
                </c:pt>
                <c:pt idx="2827">
                  <c:v>16636.0498395878</c:v>
                </c:pt>
                <c:pt idx="2828">
                  <c:v>16766.0942692082</c:v>
                </c:pt>
                <c:pt idx="2829">
                  <c:v>16897.3371503317</c:v>
                </c:pt>
                <c:pt idx="2830">
                  <c:v>17058.7142295088</c:v>
                </c:pt>
                <c:pt idx="2831">
                  <c:v>17214.5118888106</c:v>
                </c:pt>
                <c:pt idx="2832">
                  <c:v>17362.1685829486</c:v>
                </c:pt>
                <c:pt idx="2833">
                  <c:v>17506.7282204768</c:v>
                </c:pt>
                <c:pt idx="2834">
                  <c:v>17637.287268132</c:v>
                </c:pt>
                <c:pt idx="2835">
                  <c:v>17796.4251481975</c:v>
                </c:pt>
                <c:pt idx="2836">
                  <c:v>17949.9864066402</c:v>
                </c:pt>
                <c:pt idx="2837">
                  <c:v>18095.8549485421</c:v>
                </c:pt>
                <c:pt idx="2838">
                  <c:v>18243.745808002</c:v>
                </c:pt>
                <c:pt idx="2839">
                  <c:v>18384.5548689493</c:v>
                </c:pt>
                <c:pt idx="2840">
                  <c:v>18520.5960004842</c:v>
                </c:pt>
                <c:pt idx="2841">
                  <c:v>18666.8995933612</c:v>
                </c:pt>
                <c:pt idx="2842">
                  <c:v>18775.8821454336</c:v>
                </c:pt>
                <c:pt idx="2843">
                  <c:v>18936.3692308669</c:v>
                </c:pt>
                <c:pt idx="2844">
                  <c:v>19097.404161077</c:v>
                </c:pt>
                <c:pt idx="2845">
                  <c:v>19240.857231171</c:v>
                </c:pt>
                <c:pt idx="2846">
                  <c:v>19352.8693028471</c:v>
                </c:pt>
                <c:pt idx="2847">
                  <c:v>19546.6021133704</c:v>
                </c:pt>
                <c:pt idx="2848">
                  <c:v>19710.2471384966</c:v>
                </c:pt>
                <c:pt idx="2849">
                  <c:v>19865.2318555139</c:v>
                </c:pt>
                <c:pt idx="2850">
                  <c:v>20023.1066719723</c:v>
                </c:pt>
                <c:pt idx="2851">
                  <c:v>20179.2893386215</c:v>
                </c:pt>
                <c:pt idx="2852">
                  <c:v>20338.8313379036</c:v>
                </c:pt>
                <c:pt idx="2853">
                  <c:v>20499.3766703542</c:v>
                </c:pt>
                <c:pt idx="2854">
                  <c:v>20659.7753775628</c:v>
                </c:pt>
                <c:pt idx="2855">
                  <c:v>20830.7934495626</c:v>
                </c:pt>
                <c:pt idx="2856">
                  <c:v>21006.1549866197</c:v>
                </c:pt>
                <c:pt idx="2857">
                  <c:v>21178.4666334025</c:v>
                </c:pt>
                <c:pt idx="2858">
                  <c:v>21345.2382663065</c:v>
                </c:pt>
                <c:pt idx="2859">
                  <c:v>21463.4493130886</c:v>
                </c:pt>
                <c:pt idx="2860">
                  <c:v>21623.5690261223</c:v>
                </c:pt>
                <c:pt idx="2861">
                  <c:v>21758.9269315708</c:v>
                </c:pt>
                <c:pt idx="2862">
                  <c:v>21890.1694078252</c:v>
                </c:pt>
                <c:pt idx="2863">
                  <c:v>22006.0285730084</c:v>
                </c:pt>
                <c:pt idx="2864">
                  <c:v>22125.469404612</c:v>
                </c:pt>
                <c:pt idx="2865">
                  <c:v>22307.3806368541</c:v>
                </c:pt>
                <c:pt idx="2866">
                  <c:v>22494.2805810969</c:v>
                </c:pt>
                <c:pt idx="2867">
                  <c:v>22701.6845217444</c:v>
                </c:pt>
                <c:pt idx="2868">
                  <c:v>22883.0264244798</c:v>
                </c:pt>
                <c:pt idx="2869">
                  <c:v>23047.12721918</c:v>
                </c:pt>
                <c:pt idx="2870">
                  <c:v>23265.8076649644</c:v>
                </c:pt>
                <c:pt idx="2871">
                  <c:v>23438.0219493688</c:v>
                </c:pt>
                <c:pt idx="2872">
                  <c:v>23582.8022222041</c:v>
                </c:pt>
                <c:pt idx="2873">
                  <c:v>23725.8923657015</c:v>
                </c:pt>
                <c:pt idx="2874">
                  <c:v>23897.8977547655</c:v>
                </c:pt>
                <c:pt idx="2875">
                  <c:v>24055.1808312996</c:v>
                </c:pt>
                <c:pt idx="2876">
                  <c:v>24207.6870469452</c:v>
                </c:pt>
                <c:pt idx="2877">
                  <c:v>24400.0612831097</c:v>
                </c:pt>
                <c:pt idx="2878">
                  <c:v>24579.3764915618</c:v>
                </c:pt>
                <c:pt idx="2879">
                  <c:v>24733.2867010202</c:v>
                </c:pt>
                <c:pt idx="2880">
                  <c:v>24918.7214130518</c:v>
                </c:pt>
                <c:pt idx="2881">
                  <c:v>25090.2561572938</c:v>
                </c:pt>
                <c:pt idx="2882">
                  <c:v>25279.7384456362</c:v>
                </c:pt>
                <c:pt idx="2883">
                  <c:v>25448.0695871394</c:v>
                </c:pt>
                <c:pt idx="2884">
                  <c:v>25617.1983844282</c:v>
                </c:pt>
                <c:pt idx="2885">
                  <c:v>25806.0725551867</c:v>
                </c:pt>
                <c:pt idx="2886">
                  <c:v>25973.6091100406</c:v>
                </c:pt>
                <c:pt idx="2887">
                  <c:v>26125.6381372745</c:v>
                </c:pt>
                <c:pt idx="2888">
                  <c:v>26286.2878561132</c:v>
                </c:pt>
                <c:pt idx="2889">
                  <c:v>26467.4814552263</c:v>
                </c:pt>
                <c:pt idx="2890">
                  <c:v>26670.0078425992</c:v>
                </c:pt>
                <c:pt idx="2891">
                  <c:v>26836.5362079557</c:v>
                </c:pt>
                <c:pt idx="2892">
                  <c:v>26979.2316809346</c:v>
                </c:pt>
                <c:pt idx="2893">
                  <c:v>27183.7589048506</c:v>
                </c:pt>
                <c:pt idx="2894">
                  <c:v>27410.7688283335</c:v>
                </c:pt>
                <c:pt idx="2895">
                  <c:v>27577.4638322332</c:v>
                </c:pt>
                <c:pt idx="2896">
                  <c:v>27766.774465066</c:v>
                </c:pt>
                <c:pt idx="2897">
                  <c:v>27948.2133943206</c:v>
                </c:pt>
                <c:pt idx="2898">
                  <c:v>28130.8382488707</c:v>
                </c:pt>
                <c:pt idx="2899">
                  <c:v>28319.5655782416</c:v>
                </c:pt>
                <c:pt idx="2900">
                  <c:v>28566.9957254111</c:v>
                </c:pt>
                <c:pt idx="2901">
                  <c:v>28774.7595001295</c:v>
                </c:pt>
                <c:pt idx="2902">
                  <c:v>28964.9057733359</c:v>
                </c:pt>
                <c:pt idx="2903">
                  <c:v>29065.4810927532</c:v>
                </c:pt>
                <c:pt idx="2904">
                  <c:v>29216.3310390652</c:v>
                </c:pt>
                <c:pt idx="2905">
                  <c:v>29400.6143797627</c:v>
                </c:pt>
                <c:pt idx="2906">
                  <c:v>29628.3414177624</c:v>
                </c:pt>
                <c:pt idx="2907">
                  <c:v>29756.2567981737</c:v>
                </c:pt>
                <c:pt idx="2908">
                  <c:v>29964.0010554458</c:v>
                </c:pt>
                <c:pt idx="2909">
                  <c:v>30149.7185761911</c:v>
                </c:pt>
                <c:pt idx="2910">
                  <c:v>30301.9744605211</c:v>
                </c:pt>
                <c:pt idx="2911">
                  <c:v>30464.6240064436</c:v>
                </c:pt>
                <c:pt idx="2912">
                  <c:v>30647.7080992951</c:v>
                </c:pt>
                <c:pt idx="2913">
                  <c:v>30812.4319664419</c:v>
                </c:pt>
                <c:pt idx="2914">
                  <c:v>31009.3687867839</c:v>
                </c:pt>
                <c:pt idx="2915">
                  <c:v>31210.5880175393</c:v>
                </c:pt>
                <c:pt idx="2916">
                  <c:v>31384.5318144045</c:v>
                </c:pt>
                <c:pt idx="2917">
                  <c:v>31510.4280803325</c:v>
                </c:pt>
                <c:pt idx="2918">
                  <c:v>31767.6321315737</c:v>
                </c:pt>
                <c:pt idx="2919">
                  <c:v>32002.399028611</c:v>
                </c:pt>
                <c:pt idx="2920">
                  <c:v>32181.1123593188</c:v>
                </c:pt>
                <c:pt idx="2921">
                  <c:v>32538.4026915745</c:v>
                </c:pt>
                <c:pt idx="2922">
                  <c:v>32839.4046560098</c:v>
                </c:pt>
                <c:pt idx="2923">
                  <c:v>33031.0069452243</c:v>
                </c:pt>
                <c:pt idx="2924">
                  <c:v>33220.9600687368</c:v>
                </c:pt>
                <c:pt idx="2925">
                  <c:v>33461.0587675098</c:v>
                </c:pt>
                <c:pt idx="2926">
                  <c:v>33643.4816260564</c:v>
                </c:pt>
                <c:pt idx="2927">
                  <c:v>33768.2436356775</c:v>
                </c:pt>
                <c:pt idx="2928">
                  <c:v>33982.8362019129</c:v>
                </c:pt>
                <c:pt idx="2929">
                  <c:v>34188.4809164585</c:v>
                </c:pt>
                <c:pt idx="2930">
                  <c:v>34339.0706621068</c:v>
                </c:pt>
                <c:pt idx="2931">
                  <c:v>34580.3618302503</c:v>
                </c:pt>
                <c:pt idx="2932">
                  <c:v>34788.745049434</c:v>
                </c:pt>
                <c:pt idx="2933">
                  <c:v>35031.9312429318</c:v>
                </c:pt>
                <c:pt idx="2934">
                  <c:v>35245.6980437462</c:v>
                </c:pt>
                <c:pt idx="2935">
                  <c:v>35392.411034335</c:v>
                </c:pt>
                <c:pt idx="2936">
                  <c:v>35591.6562535066</c:v>
                </c:pt>
                <c:pt idx="2937">
                  <c:v>35761.5831884659</c:v>
                </c:pt>
                <c:pt idx="2938">
                  <c:v>35877.1627173726</c:v>
                </c:pt>
                <c:pt idx="2939">
                  <c:v>35935.4107591384</c:v>
                </c:pt>
                <c:pt idx="2940">
                  <c:v>36040.2137701499</c:v>
                </c:pt>
                <c:pt idx="2941">
                  <c:v>36135.7266679664</c:v>
                </c:pt>
                <c:pt idx="2942">
                  <c:v>36312.2213742414</c:v>
                </c:pt>
                <c:pt idx="2943">
                  <c:v>36455.8871658028</c:v>
                </c:pt>
                <c:pt idx="2944">
                  <c:v>36616.8522771361</c:v>
                </c:pt>
                <c:pt idx="2945">
                  <c:v>36934.6790332483</c:v>
                </c:pt>
                <c:pt idx="2946">
                  <c:v>37255.7140818325</c:v>
                </c:pt>
                <c:pt idx="2947">
                  <c:v>37496.028564369</c:v>
                </c:pt>
                <c:pt idx="2948">
                  <c:v>37645.1965617539</c:v>
                </c:pt>
                <c:pt idx="2949">
                  <c:v>38013.2738994433</c:v>
                </c:pt>
                <c:pt idx="2950">
                  <c:v>38386.2696210366</c:v>
                </c:pt>
                <c:pt idx="2951">
                  <c:v>38594.6650726051</c:v>
                </c:pt>
                <c:pt idx="2952">
                  <c:v>38834.0004612854</c:v>
                </c:pt>
                <c:pt idx="2953">
                  <c:v>38939.3594418875</c:v>
                </c:pt>
                <c:pt idx="2954">
                  <c:v>39070.0364399913</c:v>
                </c:pt>
                <c:pt idx="2955">
                  <c:v>39146.8105794059</c:v>
                </c:pt>
                <c:pt idx="2956">
                  <c:v>39238.0228263101</c:v>
                </c:pt>
                <c:pt idx="2957">
                  <c:v>39248.8741728591</c:v>
                </c:pt>
                <c:pt idx="2958">
                  <c:v>39365.5461800846</c:v>
                </c:pt>
                <c:pt idx="2959">
                  <c:v>39500.2003014561</c:v>
                </c:pt>
                <c:pt idx="2960">
                  <c:v>39619.9286380943</c:v>
                </c:pt>
                <c:pt idx="2961">
                  <c:v>39843.508808019</c:v>
                </c:pt>
                <c:pt idx="2962">
                  <c:v>40078.2817481182</c:v>
                </c:pt>
                <c:pt idx="2963">
                  <c:v>40314.5411204513</c:v>
                </c:pt>
                <c:pt idx="2964">
                  <c:v>40308.495015868</c:v>
                </c:pt>
                <c:pt idx="2965">
                  <c:v>40385.4064269669</c:v>
                </c:pt>
                <c:pt idx="2966">
                  <c:v>40726.2160822435</c:v>
                </c:pt>
                <c:pt idx="2967">
                  <c:v>40771.9435205999</c:v>
                </c:pt>
                <c:pt idx="2968">
                  <c:v>40982.7573198754</c:v>
                </c:pt>
                <c:pt idx="2969">
                  <c:v>41321.3873105866</c:v>
                </c:pt>
              </c:numCache>
            </c:numRef>
          </c:yVal>
          <c:smooth val="0"/>
        </c:ser>
        <c:axId val="20709648"/>
        <c:axId val="85860145"/>
      </c:scatterChart>
      <c:valAx>
        <c:axId val="20709648"/>
        <c:scaling>
          <c:orientation val="minMax"/>
          <c:max val="40000"/>
          <c:min val="0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minorGridlines>
          <c:spPr>
            <a:ln w="0">
              <a:solidFill>
                <a:srgbClr val="DDDDDD"/>
              </a:solidFill>
            </a:ln>
          </c:spPr>
        </c:min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Altitude (m)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85860145"/>
        <c:crossesAt val="-50"/>
        <c:crossBetween val="midCat"/>
      </c:valAx>
      <c:valAx>
        <c:axId val="85860145"/>
        <c:scaling>
          <c:orientation val="minMax"/>
          <c:max val="40"/>
          <c:min val="-5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minorGridlines>
          <c:spPr>
            <a:ln w="0">
              <a:solidFill>
                <a:srgbClr val="DDDDDD"/>
              </a:solidFill>
            </a:ln>
          </c:spPr>
        </c:min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Temperature (°C)</a:t>
                </a:r>
              </a:p>
            </c:rich>
          </c:tx>
          <c:layout>
            <c:manualLayout>
              <c:xMode val="edge"/>
              <c:yMode val="edge"/>
              <c:x val="0.0209447415329768"/>
              <c:y val="0.43067764548792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2070964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596566198994063"/>
          <c:y val="0.154522111269615"/>
          <c:w val="0.283526208304969"/>
          <c:h val="0.139237616982424"/>
        </c:manualLayout>
      </c:layout>
      <c:overlay val="0"/>
      <c:spPr>
        <a:solidFill>
          <a:srgbClr val="D9D9D9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Temperature vs altitude - downward trajectory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IRM balloon flight 27/9/2026</a:t>
            </a:r>
          </a:p>
        </c:rich>
      </c:tx>
      <c:layout>
        <c:manualLayout>
          <c:xMode val="edge"/>
          <c:yMode val="edge"/>
          <c:x val="0.294903310390036"/>
          <c:y val="0.00777911690588364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591199606686332"/>
          <c:y val="0.0833789854278514"/>
          <c:w val="0.890609636184857"/>
          <c:h val="0.852361126328476"/>
        </c:manualLayout>
      </c:layout>
      <c:scatterChart>
        <c:scatterStyle val="line"/>
        <c:varyColors val="0"/>
        <c:ser>
          <c:idx val="0"/>
          <c:order val="0"/>
          <c:tx>
            <c:strRef>
              <c:f>"Outside payload temperature"</c:f>
              <c:strCache>
                <c:ptCount val="1"/>
                <c:pt idx="0">
                  <c:v>Outside payload temperature</c:v>
                </c:pt>
              </c:strCache>
            </c:strRef>
          </c:tx>
          <c:spPr>
            <a:solidFill>
              <a:srgbClr val="1C99E0"/>
            </a:solidFill>
            <a:ln w="14400">
              <a:solidFill>
                <a:srgbClr val="1C99E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44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'Flight data'!$G$301:$G$443</c:f>
              <c:numCache>
                <c:formatCode>General</c:formatCode>
                <c:ptCount val="143"/>
                <c:pt idx="0">
                  <c:v>37578</c:v>
                </c:pt>
                <c:pt idx="1">
                  <c:v>37252</c:v>
                </c:pt>
                <c:pt idx="2">
                  <c:v>35766</c:v>
                </c:pt>
                <c:pt idx="3">
                  <c:v>34352</c:v>
                </c:pt>
                <c:pt idx="4">
                  <c:v>33197</c:v>
                </c:pt>
                <c:pt idx="5">
                  <c:v>32118</c:v>
                </c:pt>
                <c:pt idx="6">
                  <c:v>31073</c:v>
                </c:pt>
                <c:pt idx="7">
                  <c:v>30065</c:v>
                </c:pt>
                <c:pt idx="8">
                  <c:v>29183</c:v>
                </c:pt>
                <c:pt idx="9">
                  <c:v>28368</c:v>
                </c:pt>
                <c:pt idx="10">
                  <c:v>27583</c:v>
                </c:pt>
                <c:pt idx="11">
                  <c:v>26866</c:v>
                </c:pt>
                <c:pt idx="12">
                  <c:v>26186</c:v>
                </c:pt>
                <c:pt idx="13">
                  <c:v>25518</c:v>
                </c:pt>
                <c:pt idx="14">
                  <c:v>24870</c:v>
                </c:pt>
                <c:pt idx="15">
                  <c:v>24256</c:v>
                </c:pt>
                <c:pt idx="16">
                  <c:v>23695</c:v>
                </c:pt>
                <c:pt idx="17">
                  <c:v>23173</c:v>
                </c:pt>
                <c:pt idx="18">
                  <c:v>22662</c:v>
                </c:pt>
                <c:pt idx="19">
                  <c:v>22182</c:v>
                </c:pt>
                <c:pt idx="20">
                  <c:v>21723</c:v>
                </c:pt>
                <c:pt idx="21">
                  <c:v>21237</c:v>
                </c:pt>
                <c:pt idx="22">
                  <c:v>20779</c:v>
                </c:pt>
                <c:pt idx="23">
                  <c:v>20363</c:v>
                </c:pt>
                <c:pt idx="24">
                  <c:v>19950</c:v>
                </c:pt>
                <c:pt idx="25">
                  <c:v>19545</c:v>
                </c:pt>
                <c:pt idx="26">
                  <c:v>19150</c:v>
                </c:pt>
                <c:pt idx="27">
                  <c:v>18789</c:v>
                </c:pt>
                <c:pt idx="28">
                  <c:v>18450</c:v>
                </c:pt>
                <c:pt idx="29">
                  <c:v>18116</c:v>
                </c:pt>
                <c:pt idx="30">
                  <c:v>17813</c:v>
                </c:pt>
                <c:pt idx="31">
                  <c:v>17496</c:v>
                </c:pt>
                <c:pt idx="32">
                  <c:v>17186</c:v>
                </c:pt>
                <c:pt idx="33">
                  <c:v>16934</c:v>
                </c:pt>
                <c:pt idx="34">
                  <c:v>16684</c:v>
                </c:pt>
                <c:pt idx="35">
                  <c:v>16453</c:v>
                </c:pt>
                <c:pt idx="36">
                  <c:v>16195</c:v>
                </c:pt>
                <c:pt idx="37">
                  <c:v>15933</c:v>
                </c:pt>
                <c:pt idx="38">
                  <c:v>15657</c:v>
                </c:pt>
                <c:pt idx="39">
                  <c:v>15366</c:v>
                </c:pt>
                <c:pt idx="40">
                  <c:v>15031</c:v>
                </c:pt>
                <c:pt idx="41">
                  <c:v>14709</c:v>
                </c:pt>
                <c:pt idx="42">
                  <c:v>14402</c:v>
                </c:pt>
                <c:pt idx="43">
                  <c:v>14098</c:v>
                </c:pt>
                <c:pt idx="44">
                  <c:v>13811</c:v>
                </c:pt>
                <c:pt idx="45">
                  <c:v>13533</c:v>
                </c:pt>
                <c:pt idx="46">
                  <c:v>13241</c:v>
                </c:pt>
                <c:pt idx="47">
                  <c:v>12969</c:v>
                </c:pt>
                <c:pt idx="48">
                  <c:v>12710</c:v>
                </c:pt>
                <c:pt idx="49">
                  <c:v>12456</c:v>
                </c:pt>
                <c:pt idx="50">
                  <c:v>12204</c:v>
                </c:pt>
                <c:pt idx="51">
                  <c:v>11961</c:v>
                </c:pt>
                <c:pt idx="52">
                  <c:v>11710</c:v>
                </c:pt>
                <c:pt idx="53">
                  <c:v>11450</c:v>
                </c:pt>
                <c:pt idx="54">
                  <c:v>11217</c:v>
                </c:pt>
                <c:pt idx="55">
                  <c:v>10986</c:v>
                </c:pt>
                <c:pt idx="56">
                  <c:v>10744</c:v>
                </c:pt>
                <c:pt idx="57">
                  <c:v>10510</c:v>
                </c:pt>
                <c:pt idx="58">
                  <c:v>10292</c:v>
                </c:pt>
                <c:pt idx="59">
                  <c:v>10076</c:v>
                </c:pt>
                <c:pt idx="60">
                  <c:v>9867</c:v>
                </c:pt>
                <c:pt idx="61">
                  <c:v>9662</c:v>
                </c:pt>
                <c:pt idx="62">
                  <c:v>9460</c:v>
                </c:pt>
                <c:pt idx="63">
                  <c:v>9261</c:v>
                </c:pt>
                <c:pt idx="64">
                  <c:v>9072</c:v>
                </c:pt>
                <c:pt idx="65">
                  <c:v>8858</c:v>
                </c:pt>
                <c:pt idx="66">
                  <c:v>8658</c:v>
                </c:pt>
                <c:pt idx="67">
                  <c:v>8467</c:v>
                </c:pt>
                <c:pt idx="68">
                  <c:v>8281</c:v>
                </c:pt>
                <c:pt idx="69">
                  <c:v>8091</c:v>
                </c:pt>
                <c:pt idx="70">
                  <c:v>7915</c:v>
                </c:pt>
                <c:pt idx="71">
                  <c:v>7721</c:v>
                </c:pt>
                <c:pt idx="72">
                  <c:v>7542</c:v>
                </c:pt>
                <c:pt idx="73">
                  <c:v>7366</c:v>
                </c:pt>
                <c:pt idx="74">
                  <c:v>7198</c:v>
                </c:pt>
                <c:pt idx="75">
                  <c:v>7035</c:v>
                </c:pt>
                <c:pt idx="76">
                  <c:v>6868</c:v>
                </c:pt>
                <c:pt idx="77">
                  <c:v>6703</c:v>
                </c:pt>
                <c:pt idx="78">
                  <c:v>6537</c:v>
                </c:pt>
                <c:pt idx="79">
                  <c:v>6383</c:v>
                </c:pt>
                <c:pt idx="80">
                  <c:v>6225</c:v>
                </c:pt>
                <c:pt idx="81">
                  <c:v>6076</c:v>
                </c:pt>
                <c:pt idx="82">
                  <c:v>5918</c:v>
                </c:pt>
                <c:pt idx="83">
                  <c:v>5759</c:v>
                </c:pt>
                <c:pt idx="84">
                  <c:v>5620</c:v>
                </c:pt>
                <c:pt idx="85">
                  <c:v>5481</c:v>
                </c:pt>
                <c:pt idx="86">
                  <c:v>5338</c:v>
                </c:pt>
                <c:pt idx="87">
                  <c:v>5202</c:v>
                </c:pt>
                <c:pt idx="88">
                  <c:v>5054</c:v>
                </c:pt>
                <c:pt idx="89">
                  <c:v>4909</c:v>
                </c:pt>
                <c:pt idx="90">
                  <c:v>4779</c:v>
                </c:pt>
                <c:pt idx="91">
                  <c:v>4653</c:v>
                </c:pt>
                <c:pt idx="92">
                  <c:v>4538</c:v>
                </c:pt>
                <c:pt idx="93">
                  <c:v>4423</c:v>
                </c:pt>
                <c:pt idx="94">
                  <c:v>4310</c:v>
                </c:pt>
                <c:pt idx="95">
                  <c:v>4201</c:v>
                </c:pt>
                <c:pt idx="96">
                  <c:v>4103</c:v>
                </c:pt>
                <c:pt idx="97">
                  <c:v>4007</c:v>
                </c:pt>
                <c:pt idx="98">
                  <c:v>3910</c:v>
                </c:pt>
                <c:pt idx="99">
                  <c:v>3813</c:v>
                </c:pt>
                <c:pt idx="100">
                  <c:v>3714</c:v>
                </c:pt>
                <c:pt idx="101">
                  <c:v>3615</c:v>
                </c:pt>
                <c:pt idx="102">
                  <c:v>3505</c:v>
                </c:pt>
                <c:pt idx="103">
                  <c:v>3395</c:v>
                </c:pt>
                <c:pt idx="104">
                  <c:v>3291</c:v>
                </c:pt>
                <c:pt idx="105">
                  <c:v>3186</c:v>
                </c:pt>
                <c:pt idx="106">
                  <c:v>3084</c:v>
                </c:pt>
                <c:pt idx="107">
                  <c:v>2972</c:v>
                </c:pt>
                <c:pt idx="108">
                  <c:v>2865</c:v>
                </c:pt>
                <c:pt idx="109">
                  <c:v>2762</c:v>
                </c:pt>
                <c:pt idx="110">
                  <c:v>2659</c:v>
                </c:pt>
                <c:pt idx="111">
                  <c:v>2553</c:v>
                </c:pt>
                <c:pt idx="112">
                  <c:v>2448</c:v>
                </c:pt>
                <c:pt idx="113">
                  <c:v>2341</c:v>
                </c:pt>
                <c:pt idx="114">
                  <c:v>2226</c:v>
                </c:pt>
                <c:pt idx="115">
                  <c:v>2116</c:v>
                </c:pt>
                <c:pt idx="116">
                  <c:v>2016</c:v>
                </c:pt>
                <c:pt idx="117">
                  <c:v>1914</c:v>
                </c:pt>
                <c:pt idx="118">
                  <c:v>1814</c:v>
                </c:pt>
                <c:pt idx="119">
                  <c:v>1722</c:v>
                </c:pt>
                <c:pt idx="120">
                  <c:v>1635</c:v>
                </c:pt>
                <c:pt idx="121">
                  <c:v>1549</c:v>
                </c:pt>
                <c:pt idx="122">
                  <c:v>1461</c:v>
                </c:pt>
                <c:pt idx="123">
                  <c:v>1374</c:v>
                </c:pt>
                <c:pt idx="124">
                  <c:v>1279</c:v>
                </c:pt>
                <c:pt idx="125">
                  <c:v>1184</c:v>
                </c:pt>
                <c:pt idx="126">
                  <c:v>1077</c:v>
                </c:pt>
                <c:pt idx="127">
                  <c:v>972</c:v>
                </c:pt>
                <c:pt idx="128">
                  <c:v>874</c:v>
                </c:pt>
                <c:pt idx="129">
                  <c:v>775</c:v>
                </c:pt>
                <c:pt idx="130">
                  <c:v>668</c:v>
                </c:pt>
                <c:pt idx="131">
                  <c:v>570</c:v>
                </c:pt>
                <c:pt idx="132">
                  <c:v>473</c:v>
                </c:pt>
                <c:pt idx="133">
                  <c:v>370</c:v>
                </c:pt>
                <c:pt idx="134">
                  <c:v>270</c:v>
                </c:pt>
                <c:pt idx="135">
                  <c:v>183</c:v>
                </c:pt>
                <c:pt idx="136">
                  <c:v>94.8</c:v>
                </c:pt>
                <c:pt idx="137">
                  <c:v>30.3</c:v>
                </c:pt>
                <c:pt idx="138">
                  <c:v>25</c:v>
                </c:pt>
                <c:pt idx="139">
                  <c:v>24.3</c:v>
                </c:pt>
                <c:pt idx="140">
                  <c:v>24</c:v>
                </c:pt>
                <c:pt idx="141">
                  <c:v>24</c:v>
                </c:pt>
                <c:pt idx="142">
                  <c:v>24</c:v>
                </c:pt>
              </c:numCache>
            </c:numRef>
          </c:xVal>
          <c:yVal>
            <c:numRef>
              <c:f>'Flight data'!$B$301:$B$443</c:f>
              <c:numCache>
                <c:formatCode>0.0</c:formatCode>
                <c:ptCount val="143"/>
                <c:pt idx="0">
                  <c:v>-6.43333333333333</c:v>
                </c:pt>
                <c:pt idx="1">
                  <c:v>-7.31666666666667</c:v>
                </c:pt>
                <c:pt idx="2">
                  <c:v>-8.65</c:v>
                </c:pt>
                <c:pt idx="3">
                  <c:v>-9.33333333333333</c:v>
                </c:pt>
                <c:pt idx="4">
                  <c:v>-9.4</c:v>
                </c:pt>
                <c:pt idx="5">
                  <c:v>-11.3666666666667</c:v>
                </c:pt>
                <c:pt idx="6">
                  <c:v>-12.8166666666667</c:v>
                </c:pt>
                <c:pt idx="7">
                  <c:v>-14.3166666666667</c:v>
                </c:pt>
                <c:pt idx="8">
                  <c:v>-15.45</c:v>
                </c:pt>
                <c:pt idx="9">
                  <c:v>-16.85</c:v>
                </c:pt>
                <c:pt idx="10">
                  <c:v>-18.0833333333333</c:v>
                </c:pt>
                <c:pt idx="11">
                  <c:v>-19.5833333333333</c:v>
                </c:pt>
                <c:pt idx="12">
                  <c:v>-20.9</c:v>
                </c:pt>
                <c:pt idx="13">
                  <c:v>-21.9833333333333</c:v>
                </c:pt>
                <c:pt idx="14">
                  <c:v>-22.8833333333333</c:v>
                </c:pt>
                <c:pt idx="15">
                  <c:v>-24.45</c:v>
                </c:pt>
                <c:pt idx="16">
                  <c:v>-26.2</c:v>
                </c:pt>
                <c:pt idx="17">
                  <c:v>-27.8</c:v>
                </c:pt>
                <c:pt idx="18">
                  <c:v>-29.4666666666667</c:v>
                </c:pt>
                <c:pt idx="19">
                  <c:v>-30.95</c:v>
                </c:pt>
                <c:pt idx="20">
                  <c:v>-31.7166666666667</c:v>
                </c:pt>
                <c:pt idx="21">
                  <c:v>-31.8333333333333</c:v>
                </c:pt>
                <c:pt idx="22">
                  <c:v>-32.1166666666667</c:v>
                </c:pt>
                <c:pt idx="23">
                  <c:v>-32.6166666666667</c:v>
                </c:pt>
                <c:pt idx="24">
                  <c:v>-33.2833333333333</c:v>
                </c:pt>
                <c:pt idx="25">
                  <c:v>-34.0333333333333</c:v>
                </c:pt>
                <c:pt idx="26">
                  <c:v>-34.5333333333333</c:v>
                </c:pt>
                <c:pt idx="27">
                  <c:v>-34.9166666666667</c:v>
                </c:pt>
                <c:pt idx="28">
                  <c:v>-35.5166666666667</c:v>
                </c:pt>
                <c:pt idx="29">
                  <c:v>-35.8166666666667</c:v>
                </c:pt>
                <c:pt idx="30">
                  <c:v>-36.05</c:v>
                </c:pt>
                <c:pt idx="31">
                  <c:v>-36.65</c:v>
                </c:pt>
                <c:pt idx="32">
                  <c:v>-37.6333333333333</c:v>
                </c:pt>
                <c:pt idx="33">
                  <c:v>-38.2</c:v>
                </c:pt>
                <c:pt idx="34">
                  <c:v>-38.2333333333333</c:v>
                </c:pt>
                <c:pt idx="35">
                  <c:v>-38.3333333333333</c:v>
                </c:pt>
                <c:pt idx="36">
                  <c:v>-38.5833333333333</c:v>
                </c:pt>
                <c:pt idx="37">
                  <c:v>-38.8833333333333</c:v>
                </c:pt>
                <c:pt idx="38">
                  <c:v>-39.1833333333333</c:v>
                </c:pt>
                <c:pt idx="39">
                  <c:v>-39.7666666666667</c:v>
                </c:pt>
                <c:pt idx="40">
                  <c:v>-40.45</c:v>
                </c:pt>
                <c:pt idx="41">
                  <c:v>-40.95</c:v>
                </c:pt>
                <c:pt idx="42">
                  <c:v>-41.45</c:v>
                </c:pt>
                <c:pt idx="43">
                  <c:v>-42.0666666666667</c:v>
                </c:pt>
                <c:pt idx="44">
                  <c:v>-42.7166666666667</c:v>
                </c:pt>
                <c:pt idx="45">
                  <c:v>-43.55</c:v>
                </c:pt>
                <c:pt idx="46">
                  <c:v>-44.25</c:v>
                </c:pt>
                <c:pt idx="47">
                  <c:v>-44.9</c:v>
                </c:pt>
                <c:pt idx="48">
                  <c:v>-45.6333333333333</c:v>
                </c:pt>
                <c:pt idx="49">
                  <c:v>-46.2666666666667</c:v>
                </c:pt>
                <c:pt idx="50">
                  <c:v>-46.55</c:v>
                </c:pt>
                <c:pt idx="51">
                  <c:v>-46.8166666666667</c:v>
                </c:pt>
                <c:pt idx="52">
                  <c:v>-47.2</c:v>
                </c:pt>
                <c:pt idx="53">
                  <c:v>-47.0333333333333</c:v>
                </c:pt>
                <c:pt idx="54">
                  <c:v>-46.8333333333333</c:v>
                </c:pt>
                <c:pt idx="55">
                  <c:v>-46.7</c:v>
                </c:pt>
                <c:pt idx="56">
                  <c:v>-46.2666666666667</c:v>
                </c:pt>
                <c:pt idx="57">
                  <c:v>-45.4166666666667</c:v>
                </c:pt>
                <c:pt idx="58">
                  <c:v>-44.8333333333333</c:v>
                </c:pt>
                <c:pt idx="59">
                  <c:v>-44</c:v>
                </c:pt>
                <c:pt idx="60">
                  <c:v>-43.2833333333333</c:v>
                </c:pt>
                <c:pt idx="61">
                  <c:v>-42.15</c:v>
                </c:pt>
                <c:pt idx="62">
                  <c:v>-41.1833333333333</c:v>
                </c:pt>
                <c:pt idx="63">
                  <c:v>-40.3</c:v>
                </c:pt>
                <c:pt idx="64">
                  <c:v>-39.4333333333333</c:v>
                </c:pt>
                <c:pt idx="65">
                  <c:v>-38.5833333333333</c:v>
                </c:pt>
                <c:pt idx="66">
                  <c:v>-37.4833333333333</c:v>
                </c:pt>
                <c:pt idx="67">
                  <c:v>-36.4166666666667</c:v>
                </c:pt>
                <c:pt idx="68">
                  <c:v>-35.2</c:v>
                </c:pt>
                <c:pt idx="69">
                  <c:v>-34.1</c:v>
                </c:pt>
                <c:pt idx="70">
                  <c:v>-32.8166666666667</c:v>
                </c:pt>
                <c:pt idx="71">
                  <c:v>-31.5666666666667</c:v>
                </c:pt>
                <c:pt idx="72">
                  <c:v>-30.3833333333333</c:v>
                </c:pt>
                <c:pt idx="73">
                  <c:v>-29.3</c:v>
                </c:pt>
                <c:pt idx="74">
                  <c:v>-28.1666666666667</c:v>
                </c:pt>
                <c:pt idx="75">
                  <c:v>-27.1</c:v>
                </c:pt>
                <c:pt idx="76">
                  <c:v>-26.1</c:v>
                </c:pt>
                <c:pt idx="77">
                  <c:v>-25.0333333333333</c:v>
                </c:pt>
                <c:pt idx="78">
                  <c:v>-24.0166666666667</c:v>
                </c:pt>
                <c:pt idx="79">
                  <c:v>-22.95</c:v>
                </c:pt>
                <c:pt idx="80">
                  <c:v>-21.8333333333333</c:v>
                </c:pt>
                <c:pt idx="81">
                  <c:v>-20.7</c:v>
                </c:pt>
                <c:pt idx="82">
                  <c:v>-19.45</c:v>
                </c:pt>
                <c:pt idx="83">
                  <c:v>-18.3</c:v>
                </c:pt>
                <c:pt idx="84">
                  <c:v>-17.35</c:v>
                </c:pt>
                <c:pt idx="85">
                  <c:v>-16.2166666666667</c:v>
                </c:pt>
                <c:pt idx="86">
                  <c:v>-15.25</c:v>
                </c:pt>
                <c:pt idx="87">
                  <c:v>-14.35</c:v>
                </c:pt>
                <c:pt idx="88">
                  <c:v>-13.55</c:v>
                </c:pt>
                <c:pt idx="89">
                  <c:v>-12.9833333333333</c:v>
                </c:pt>
                <c:pt idx="90">
                  <c:v>-12.25</c:v>
                </c:pt>
                <c:pt idx="91">
                  <c:v>-11.4666666666667</c:v>
                </c:pt>
                <c:pt idx="92">
                  <c:v>-10.6166666666667</c:v>
                </c:pt>
                <c:pt idx="93">
                  <c:v>-9.7</c:v>
                </c:pt>
                <c:pt idx="94">
                  <c:v>-8.83333333333333</c:v>
                </c:pt>
                <c:pt idx="95">
                  <c:v>-8.01666666666667</c:v>
                </c:pt>
                <c:pt idx="96">
                  <c:v>-7.25</c:v>
                </c:pt>
                <c:pt idx="97">
                  <c:v>-6.51666666666667</c:v>
                </c:pt>
                <c:pt idx="98">
                  <c:v>-5.85</c:v>
                </c:pt>
                <c:pt idx="99">
                  <c:v>-5.26666666666667</c:v>
                </c:pt>
                <c:pt idx="100">
                  <c:v>-4.8</c:v>
                </c:pt>
                <c:pt idx="101">
                  <c:v>-4.33333333333333</c:v>
                </c:pt>
                <c:pt idx="102">
                  <c:v>-3.85</c:v>
                </c:pt>
                <c:pt idx="103">
                  <c:v>-3.23333333333333</c:v>
                </c:pt>
                <c:pt idx="104">
                  <c:v>-2.53333333333333</c:v>
                </c:pt>
                <c:pt idx="105">
                  <c:v>-1.93333333333333</c:v>
                </c:pt>
                <c:pt idx="106">
                  <c:v>-1.21666666666667</c:v>
                </c:pt>
                <c:pt idx="107">
                  <c:v>-0.616666666666667</c:v>
                </c:pt>
                <c:pt idx="108">
                  <c:v>0.0333333333333333</c:v>
                </c:pt>
                <c:pt idx="109">
                  <c:v>0.7</c:v>
                </c:pt>
                <c:pt idx="110">
                  <c:v>1.45</c:v>
                </c:pt>
                <c:pt idx="111">
                  <c:v>2.2</c:v>
                </c:pt>
                <c:pt idx="112">
                  <c:v>2.9</c:v>
                </c:pt>
                <c:pt idx="113">
                  <c:v>3.58333333333333</c:v>
                </c:pt>
                <c:pt idx="114">
                  <c:v>4.21666666666667</c:v>
                </c:pt>
                <c:pt idx="115">
                  <c:v>4.8</c:v>
                </c:pt>
                <c:pt idx="116">
                  <c:v>5.45</c:v>
                </c:pt>
                <c:pt idx="117">
                  <c:v>6.06666666666667</c:v>
                </c:pt>
                <c:pt idx="118">
                  <c:v>6.71666666666667</c:v>
                </c:pt>
                <c:pt idx="119">
                  <c:v>7.4</c:v>
                </c:pt>
                <c:pt idx="120">
                  <c:v>8.05</c:v>
                </c:pt>
                <c:pt idx="121">
                  <c:v>8.65</c:v>
                </c:pt>
                <c:pt idx="122">
                  <c:v>9.13333333333333</c:v>
                </c:pt>
                <c:pt idx="123">
                  <c:v>9.6</c:v>
                </c:pt>
                <c:pt idx="124">
                  <c:v>9.98333333333333</c:v>
                </c:pt>
                <c:pt idx="125">
                  <c:v>10.1333333333333</c:v>
                </c:pt>
                <c:pt idx="126">
                  <c:v>10.3166666666667</c:v>
                </c:pt>
                <c:pt idx="127">
                  <c:v>10.5833333333333</c:v>
                </c:pt>
                <c:pt idx="128">
                  <c:v>10.9833333333333</c:v>
                </c:pt>
                <c:pt idx="129">
                  <c:v>11.45</c:v>
                </c:pt>
                <c:pt idx="130">
                  <c:v>11.9666666666667</c:v>
                </c:pt>
                <c:pt idx="131">
                  <c:v>12.5333333333333</c:v>
                </c:pt>
                <c:pt idx="132">
                  <c:v>13.1</c:v>
                </c:pt>
                <c:pt idx="133">
                  <c:v>13.65</c:v>
                </c:pt>
                <c:pt idx="134">
                  <c:v>14.2666666666667</c:v>
                </c:pt>
                <c:pt idx="135">
                  <c:v>14.95</c:v>
                </c:pt>
                <c:pt idx="136">
                  <c:v>15.7333333333333</c:v>
                </c:pt>
                <c:pt idx="137">
                  <c:v>16.55</c:v>
                </c:pt>
                <c:pt idx="138">
                  <c:v>17.2</c:v>
                </c:pt>
                <c:pt idx="139">
                  <c:v>17.85</c:v>
                </c:pt>
                <c:pt idx="140">
                  <c:v>18</c:v>
                </c:pt>
                <c:pt idx="141">
                  <c:v>17.3</c:v>
                </c:pt>
                <c:pt idx="142">
                  <c:v>16.9333333333333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"Inside payload temperature"</c:f>
              <c:strCache>
                <c:ptCount val="1"/>
                <c:pt idx="0">
                  <c:v>Inside payload temperature</c:v>
                </c:pt>
              </c:strCache>
            </c:strRef>
          </c:tx>
          <c:spPr>
            <a:solidFill>
              <a:srgbClr val="FF420E"/>
            </a:solidFill>
            <a:ln w="14400">
              <a:solidFill>
                <a:srgbClr val="FF420E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44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'Flight data'!$G$301:$G$443</c:f>
              <c:numCache>
                <c:formatCode>General</c:formatCode>
                <c:ptCount val="143"/>
                <c:pt idx="0">
                  <c:v>37578</c:v>
                </c:pt>
                <c:pt idx="1">
                  <c:v>37252</c:v>
                </c:pt>
                <c:pt idx="2">
                  <c:v>35766</c:v>
                </c:pt>
                <c:pt idx="3">
                  <c:v>34352</c:v>
                </c:pt>
                <c:pt idx="4">
                  <c:v>33197</c:v>
                </c:pt>
                <c:pt idx="5">
                  <c:v>32118</c:v>
                </c:pt>
                <c:pt idx="6">
                  <c:v>31073</c:v>
                </c:pt>
                <c:pt idx="7">
                  <c:v>30065</c:v>
                </c:pt>
                <c:pt idx="8">
                  <c:v>29183</c:v>
                </c:pt>
                <c:pt idx="9">
                  <c:v>28368</c:v>
                </c:pt>
                <c:pt idx="10">
                  <c:v>27583</c:v>
                </c:pt>
                <c:pt idx="11">
                  <c:v>26866</c:v>
                </c:pt>
                <c:pt idx="12">
                  <c:v>26186</c:v>
                </c:pt>
                <c:pt idx="13">
                  <c:v>25518</c:v>
                </c:pt>
                <c:pt idx="14">
                  <c:v>24870</c:v>
                </c:pt>
                <c:pt idx="15">
                  <c:v>24256</c:v>
                </c:pt>
                <c:pt idx="16">
                  <c:v>23695</c:v>
                </c:pt>
                <c:pt idx="17">
                  <c:v>23173</c:v>
                </c:pt>
                <c:pt idx="18">
                  <c:v>22662</c:v>
                </c:pt>
                <c:pt idx="19">
                  <c:v>22182</c:v>
                </c:pt>
                <c:pt idx="20">
                  <c:v>21723</c:v>
                </c:pt>
                <c:pt idx="21">
                  <c:v>21237</c:v>
                </c:pt>
                <c:pt idx="22">
                  <c:v>20779</c:v>
                </c:pt>
                <c:pt idx="23">
                  <c:v>20363</c:v>
                </c:pt>
                <c:pt idx="24">
                  <c:v>19950</c:v>
                </c:pt>
                <c:pt idx="25">
                  <c:v>19545</c:v>
                </c:pt>
                <c:pt idx="26">
                  <c:v>19150</c:v>
                </c:pt>
                <c:pt idx="27">
                  <c:v>18789</c:v>
                </c:pt>
                <c:pt idx="28">
                  <c:v>18450</c:v>
                </c:pt>
                <c:pt idx="29">
                  <c:v>18116</c:v>
                </c:pt>
                <c:pt idx="30">
                  <c:v>17813</c:v>
                </c:pt>
                <c:pt idx="31">
                  <c:v>17496</c:v>
                </c:pt>
                <c:pt idx="32">
                  <c:v>17186</c:v>
                </c:pt>
                <c:pt idx="33">
                  <c:v>16934</c:v>
                </c:pt>
                <c:pt idx="34">
                  <c:v>16684</c:v>
                </c:pt>
                <c:pt idx="35">
                  <c:v>16453</c:v>
                </c:pt>
                <c:pt idx="36">
                  <c:v>16195</c:v>
                </c:pt>
                <c:pt idx="37">
                  <c:v>15933</c:v>
                </c:pt>
                <c:pt idx="38">
                  <c:v>15657</c:v>
                </c:pt>
                <c:pt idx="39">
                  <c:v>15366</c:v>
                </c:pt>
                <c:pt idx="40">
                  <c:v>15031</c:v>
                </c:pt>
                <c:pt idx="41">
                  <c:v>14709</c:v>
                </c:pt>
                <c:pt idx="42">
                  <c:v>14402</c:v>
                </c:pt>
                <c:pt idx="43">
                  <c:v>14098</c:v>
                </c:pt>
                <c:pt idx="44">
                  <c:v>13811</c:v>
                </c:pt>
                <c:pt idx="45">
                  <c:v>13533</c:v>
                </c:pt>
                <c:pt idx="46">
                  <c:v>13241</c:v>
                </c:pt>
                <c:pt idx="47">
                  <c:v>12969</c:v>
                </c:pt>
                <c:pt idx="48">
                  <c:v>12710</c:v>
                </c:pt>
                <c:pt idx="49">
                  <c:v>12456</c:v>
                </c:pt>
                <c:pt idx="50">
                  <c:v>12204</c:v>
                </c:pt>
                <c:pt idx="51">
                  <c:v>11961</c:v>
                </c:pt>
                <c:pt idx="52">
                  <c:v>11710</c:v>
                </c:pt>
                <c:pt idx="53">
                  <c:v>11450</c:v>
                </c:pt>
                <c:pt idx="54">
                  <c:v>11217</c:v>
                </c:pt>
                <c:pt idx="55">
                  <c:v>10986</c:v>
                </c:pt>
                <c:pt idx="56">
                  <c:v>10744</c:v>
                </c:pt>
                <c:pt idx="57">
                  <c:v>10510</c:v>
                </c:pt>
                <c:pt idx="58">
                  <c:v>10292</c:v>
                </c:pt>
                <c:pt idx="59">
                  <c:v>10076</c:v>
                </c:pt>
                <c:pt idx="60">
                  <c:v>9867</c:v>
                </c:pt>
                <c:pt idx="61">
                  <c:v>9662</c:v>
                </c:pt>
                <c:pt idx="62">
                  <c:v>9460</c:v>
                </c:pt>
                <c:pt idx="63">
                  <c:v>9261</c:v>
                </c:pt>
                <c:pt idx="64">
                  <c:v>9072</c:v>
                </c:pt>
                <c:pt idx="65">
                  <c:v>8858</c:v>
                </c:pt>
                <c:pt idx="66">
                  <c:v>8658</c:v>
                </c:pt>
                <c:pt idx="67">
                  <c:v>8467</c:v>
                </c:pt>
                <c:pt idx="68">
                  <c:v>8281</c:v>
                </c:pt>
                <c:pt idx="69">
                  <c:v>8091</c:v>
                </c:pt>
                <c:pt idx="70">
                  <c:v>7915</c:v>
                </c:pt>
                <c:pt idx="71">
                  <c:v>7721</c:v>
                </c:pt>
                <c:pt idx="72">
                  <c:v>7542</c:v>
                </c:pt>
                <c:pt idx="73">
                  <c:v>7366</c:v>
                </c:pt>
                <c:pt idx="74">
                  <c:v>7198</c:v>
                </c:pt>
                <c:pt idx="75">
                  <c:v>7035</c:v>
                </c:pt>
                <c:pt idx="76">
                  <c:v>6868</c:v>
                </c:pt>
                <c:pt idx="77">
                  <c:v>6703</c:v>
                </c:pt>
                <c:pt idx="78">
                  <c:v>6537</c:v>
                </c:pt>
                <c:pt idx="79">
                  <c:v>6383</c:v>
                </c:pt>
                <c:pt idx="80">
                  <c:v>6225</c:v>
                </c:pt>
                <c:pt idx="81">
                  <c:v>6076</c:v>
                </c:pt>
                <c:pt idx="82">
                  <c:v>5918</c:v>
                </c:pt>
                <c:pt idx="83">
                  <c:v>5759</c:v>
                </c:pt>
                <c:pt idx="84">
                  <c:v>5620</c:v>
                </c:pt>
                <c:pt idx="85">
                  <c:v>5481</c:v>
                </c:pt>
                <c:pt idx="86">
                  <c:v>5338</c:v>
                </c:pt>
                <c:pt idx="87">
                  <c:v>5202</c:v>
                </c:pt>
                <c:pt idx="88">
                  <c:v>5054</c:v>
                </c:pt>
                <c:pt idx="89">
                  <c:v>4909</c:v>
                </c:pt>
                <c:pt idx="90">
                  <c:v>4779</c:v>
                </c:pt>
                <c:pt idx="91">
                  <c:v>4653</c:v>
                </c:pt>
                <c:pt idx="92">
                  <c:v>4538</c:v>
                </c:pt>
                <c:pt idx="93">
                  <c:v>4423</c:v>
                </c:pt>
                <c:pt idx="94">
                  <c:v>4310</c:v>
                </c:pt>
                <c:pt idx="95">
                  <c:v>4201</c:v>
                </c:pt>
                <c:pt idx="96">
                  <c:v>4103</c:v>
                </c:pt>
                <c:pt idx="97">
                  <c:v>4007</c:v>
                </c:pt>
                <c:pt idx="98">
                  <c:v>3910</c:v>
                </c:pt>
                <c:pt idx="99">
                  <c:v>3813</c:v>
                </c:pt>
                <c:pt idx="100">
                  <c:v>3714</c:v>
                </c:pt>
                <c:pt idx="101">
                  <c:v>3615</c:v>
                </c:pt>
                <c:pt idx="102">
                  <c:v>3505</c:v>
                </c:pt>
                <c:pt idx="103">
                  <c:v>3395</c:v>
                </c:pt>
                <c:pt idx="104">
                  <c:v>3291</c:v>
                </c:pt>
                <c:pt idx="105">
                  <c:v>3186</c:v>
                </c:pt>
                <c:pt idx="106">
                  <c:v>3084</c:v>
                </c:pt>
                <c:pt idx="107">
                  <c:v>2972</c:v>
                </c:pt>
                <c:pt idx="108">
                  <c:v>2865</c:v>
                </c:pt>
                <c:pt idx="109">
                  <c:v>2762</c:v>
                </c:pt>
                <c:pt idx="110">
                  <c:v>2659</c:v>
                </c:pt>
                <c:pt idx="111">
                  <c:v>2553</c:v>
                </c:pt>
                <c:pt idx="112">
                  <c:v>2448</c:v>
                </c:pt>
                <c:pt idx="113">
                  <c:v>2341</c:v>
                </c:pt>
                <c:pt idx="114">
                  <c:v>2226</c:v>
                </c:pt>
                <c:pt idx="115">
                  <c:v>2116</c:v>
                </c:pt>
                <c:pt idx="116">
                  <c:v>2016</c:v>
                </c:pt>
                <c:pt idx="117">
                  <c:v>1914</c:v>
                </c:pt>
                <c:pt idx="118">
                  <c:v>1814</c:v>
                </c:pt>
                <c:pt idx="119">
                  <c:v>1722</c:v>
                </c:pt>
                <c:pt idx="120">
                  <c:v>1635</c:v>
                </c:pt>
                <c:pt idx="121">
                  <c:v>1549</c:v>
                </c:pt>
                <c:pt idx="122">
                  <c:v>1461</c:v>
                </c:pt>
                <c:pt idx="123">
                  <c:v>1374</c:v>
                </c:pt>
                <c:pt idx="124">
                  <c:v>1279</c:v>
                </c:pt>
                <c:pt idx="125">
                  <c:v>1184</c:v>
                </c:pt>
                <c:pt idx="126">
                  <c:v>1077</c:v>
                </c:pt>
                <c:pt idx="127">
                  <c:v>972</c:v>
                </c:pt>
                <c:pt idx="128">
                  <c:v>874</c:v>
                </c:pt>
                <c:pt idx="129">
                  <c:v>775</c:v>
                </c:pt>
                <c:pt idx="130">
                  <c:v>668</c:v>
                </c:pt>
                <c:pt idx="131">
                  <c:v>570</c:v>
                </c:pt>
                <c:pt idx="132">
                  <c:v>473</c:v>
                </c:pt>
                <c:pt idx="133">
                  <c:v>370</c:v>
                </c:pt>
                <c:pt idx="134">
                  <c:v>270</c:v>
                </c:pt>
                <c:pt idx="135">
                  <c:v>183</c:v>
                </c:pt>
                <c:pt idx="136">
                  <c:v>94.8</c:v>
                </c:pt>
                <c:pt idx="137">
                  <c:v>30.3</c:v>
                </c:pt>
                <c:pt idx="138">
                  <c:v>25</c:v>
                </c:pt>
                <c:pt idx="139">
                  <c:v>24.3</c:v>
                </c:pt>
                <c:pt idx="140">
                  <c:v>24</c:v>
                </c:pt>
                <c:pt idx="141">
                  <c:v>24</c:v>
                </c:pt>
                <c:pt idx="142">
                  <c:v>24</c:v>
                </c:pt>
              </c:numCache>
            </c:numRef>
          </c:xVal>
          <c:yVal>
            <c:numRef>
              <c:f>'Flight data'!$C$301:$L$443</c:f>
              <c:numCache>
                <c:formatCode>0.0</c:formatCode>
                <c:ptCount val="1430"/>
                <c:pt idx="0">
                  <c:v>-29.5</c:v>
                </c:pt>
                <c:pt idx="1">
                  <c:v>-29.4166666666667</c:v>
                </c:pt>
                <c:pt idx="2">
                  <c:v>-29.35</c:v>
                </c:pt>
                <c:pt idx="3">
                  <c:v>-29.2666666666667</c:v>
                </c:pt>
                <c:pt idx="4">
                  <c:v>-29.2</c:v>
                </c:pt>
                <c:pt idx="5">
                  <c:v>-29.1166666666667</c:v>
                </c:pt>
                <c:pt idx="6">
                  <c:v>-29.0833333333333</c:v>
                </c:pt>
                <c:pt idx="7">
                  <c:v>-29</c:v>
                </c:pt>
                <c:pt idx="8">
                  <c:v>-28.9666666666667</c:v>
                </c:pt>
                <c:pt idx="9">
                  <c:v>-28.9</c:v>
                </c:pt>
                <c:pt idx="10">
                  <c:v>-28.9</c:v>
                </c:pt>
                <c:pt idx="11">
                  <c:v>-28.8666666666667</c:v>
                </c:pt>
                <c:pt idx="12">
                  <c:v>-28.8</c:v>
                </c:pt>
                <c:pt idx="13">
                  <c:v>-28.8</c:v>
                </c:pt>
                <c:pt idx="14">
                  <c:v>-28.8166666666667</c:v>
                </c:pt>
                <c:pt idx="15">
                  <c:v>-28.9</c:v>
                </c:pt>
                <c:pt idx="16">
                  <c:v>-28.9</c:v>
                </c:pt>
                <c:pt idx="17">
                  <c:v>-28.9</c:v>
                </c:pt>
                <c:pt idx="18">
                  <c:v>-29</c:v>
                </c:pt>
                <c:pt idx="19">
                  <c:v>-29</c:v>
                </c:pt>
                <c:pt idx="20">
                  <c:v>-29.1</c:v>
                </c:pt>
                <c:pt idx="21">
                  <c:v>-29.15</c:v>
                </c:pt>
                <c:pt idx="22">
                  <c:v>-29.2333333333333</c:v>
                </c:pt>
                <c:pt idx="23">
                  <c:v>-29.3166666666667</c:v>
                </c:pt>
                <c:pt idx="24">
                  <c:v>-29.4166666666667</c:v>
                </c:pt>
                <c:pt idx="25">
                  <c:v>-29.5166666666667</c:v>
                </c:pt>
                <c:pt idx="26">
                  <c:v>-29.6333333333333</c:v>
                </c:pt>
                <c:pt idx="27">
                  <c:v>-29.75</c:v>
                </c:pt>
                <c:pt idx="28">
                  <c:v>-29.8666666666667</c:v>
                </c:pt>
                <c:pt idx="29">
                  <c:v>-30</c:v>
                </c:pt>
                <c:pt idx="30">
                  <c:v>-30.1333333333333</c:v>
                </c:pt>
                <c:pt idx="31">
                  <c:v>-30.2833333333333</c:v>
                </c:pt>
                <c:pt idx="32">
                  <c:v>-30.4333333333333</c:v>
                </c:pt>
                <c:pt idx="33">
                  <c:v>-30.5666666666667</c:v>
                </c:pt>
                <c:pt idx="34">
                  <c:v>-30.7333333333333</c:v>
                </c:pt>
                <c:pt idx="35">
                  <c:v>-30.9</c:v>
                </c:pt>
                <c:pt idx="36">
                  <c:v>-31.05</c:v>
                </c:pt>
                <c:pt idx="37">
                  <c:v>-31.2</c:v>
                </c:pt>
                <c:pt idx="38">
                  <c:v>-31.3666666666667</c:v>
                </c:pt>
                <c:pt idx="39">
                  <c:v>-31.5333333333333</c:v>
                </c:pt>
                <c:pt idx="40">
                  <c:v>-31.6833333333333</c:v>
                </c:pt>
                <c:pt idx="41">
                  <c:v>-31.85</c:v>
                </c:pt>
                <c:pt idx="42">
                  <c:v>-32.0333333333333</c:v>
                </c:pt>
                <c:pt idx="43">
                  <c:v>-32.2166666666667</c:v>
                </c:pt>
                <c:pt idx="44">
                  <c:v>-32.3833333333333</c:v>
                </c:pt>
                <c:pt idx="45">
                  <c:v>-32.5833333333333</c:v>
                </c:pt>
                <c:pt idx="46">
                  <c:v>-32.75</c:v>
                </c:pt>
                <c:pt idx="47">
                  <c:v>-32.95</c:v>
                </c:pt>
                <c:pt idx="48">
                  <c:v>-33.15</c:v>
                </c:pt>
                <c:pt idx="49">
                  <c:v>-33.35</c:v>
                </c:pt>
                <c:pt idx="50">
                  <c:v>-33.55</c:v>
                </c:pt>
                <c:pt idx="51">
                  <c:v>-33.75</c:v>
                </c:pt>
                <c:pt idx="52">
                  <c:v>-33.9833333333333</c:v>
                </c:pt>
                <c:pt idx="53">
                  <c:v>-34.1833333333333</c:v>
                </c:pt>
                <c:pt idx="54">
                  <c:v>-34.4</c:v>
                </c:pt>
                <c:pt idx="55">
                  <c:v>-34.6166666666667</c:v>
                </c:pt>
                <c:pt idx="56">
                  <c:v>-34.8166666666667</c:v>
                </c:pt>
                <c:pt idx="57">
                  <c:v>-35.05</c:v>
                </c:pt>
                <c:pt idx="58">
                  <c:v>-35.25</c:v>
                </c:pt>
                <c:pt idx="59">
                  <c:v>-35.4666666666667</c:v>
                </c:pt>
                <c:pt idx="60">
                  <c:v>-35.65</c:v>
                </c:pt>
                <c:pt idx="61">
                  <c:v>-35.85</c:v>
                </c:pt>
                <c:pt idx="62">
                  <c:v>-36.0166666666667</c:v>
                </c:pt>
                <c:pt idx="63">
                  <c:v>-36.1666666666667</c:v>
                </c:pt>
                <c:pt idx="64">
                  <c:v>-36.3166666666667</c:v>
                </c:pt>
                <c:pt idx="65">
                  <c:v>-36.45</c:v>
                </c:pt>
                <c:pt idx="66">
                  <c:v>-36.5666666666667</c:v>
                </c:pt>
                <c:pt idx="67">
                  <c:v>-36.6833333333333</c:v>
                </c:pt>
                <c:pt idx="68">
                  <c:v>-36.7666666666667</c:v>
                </c:pt>
                <c:pt idx="69">
                  <c:v>-36.8</c:v>
                </c:pt>
                <c:pt idx="70">
                  <c:v>-36.9</c:v>
                </c:pt>
                <c:pt idx="71">
                  <c:v>-36.9</c:v>
                </c:pt>
                <c:pt idx="72">
                  <c:v>-36.9166666666667</c:v>
                </c:pt>
                <c:pt idx="73">
                  <c:v>-36.95</c:v>
                </c:pt>
                <c:pt idx="74">
                  <c:v>-36.9</c:v>
                </c:pt>
                <c:pt idx="75">
                  <c:v>-36.9</c:v>
                </c:pt>
                <c:pt idx="76">
                  <c:v>-36.85</c:v>
                </c:pt>
                <c:pt idx="77">
                  <c:v>-36.8</c:v>
                </c:pt>
                <c:pt idx="78">
                  <c:v>-36.7</c:v>
                </c:pt>
                <c:pt idx="79">
                  <c:v>-36.6166666666667</c:v>
                </c:pt>
                <c:pt idx="80">
                  <c:v>-36.5166666666667</c:v>
                </c:pt>
                <c:pt idx="81">
                  <c:v>-36.3666666666667</c:v>
                </c:pt>
                <c:pt idx="82">
                  <c:v>-36.25</c:v>
                </c:pt>
                <c:pt idx="83">
                  <c:v>-36.0666666666667</c:v>
                </c:pt>
                <c:pt idx="84">
                  <c:v>-35.9</c:v>
                </c:pt>
                <c:pt idx="85">
                  <c:v>-35.7166666666667</c:v>
                </c:pt>
                <c:pt idx="86">
                  <c:v>-35.5166666666667</c:v>
                </c:pt>
                <c:pt idx="87">
                  <c:v>-35.2833333333333</c:v>
                </c:pt>
                <c:pt idx="88">
                  <c:v>-35.0666666666667</c:v>
                </c:pt>
                <c:pt idx="89">
                  <c:v>-34.8166666666667</c:v>
                </c:pt>
                <c:pt idx="90">
                  <c:v>-34.55</c:v>
                </c:pt>
                <c:pt idx="91">
                  <c:v>-34.2833333333333</c:v>
                </c:pt>
                <c:pt idx="92">
                  <c:v>-34</c:v>
                </c:pt>
                <c:pt idx="93">
                  <c:v>-33.7</c:v>
                </c:pt>
                <c:pt idx="94">
                  <c:v>-33.4</c:v>
                </c:pt>
                <c:pt idx="95">
                  <c:v>-33.1</c:v>
                </c:pt>
                <c:pt idx="96">
                  <c:v>-32.8</c:v>
                </c:pt>
                <c:pt idx="97">
                  <c:v>-32.45</c:v>
                </c:pt>
                <c:pt idx="98">
                  <c:v>-32.1166666666667</c:v>
                </c:pt>
                <c:pt idx="99">
                  <c:v>-31.7666666666667</c:v>
                </c:pt>
                <c:pt idx="100">
                  <c:v>-31.3833333333333</c:v>
                </c:pt>
                <c:pt idx="101">
                  <c:v>-31.0333333333333</c:v>
                </c:pt>
                <c:pt idx="102">
                  <c:v>-30.6666666666667</c:v>
                </c:pt>
                <c:pt idx="103">
                  <c:v>-30.2833333333333</c:v>
                </c:pt>
                <c:pt idx="104">
                  <c:v>-29.8833333333333</c:v>
                </c:pt>
                <c:pt idx="105">
                  <c:v>-29.5</c:v>
                </c:pt>
                <c:pt idx="106">
                  <c:v>-29.1</c:v>
                </c:pt>
                <c:pt idx="107">
                  <c:v>-28.7</c:v>
                </c:pt>
                <c:pt idx="108">
                  <c:v>-28.3</c:v>
                </c:pt>
                <c:pt idx="109">
                  <c:v>-27.8666666666667</c:v>
                </c:pt>
                <c:pt idx="110">
                  <c:v>-27.4333333333333</c:v>
                </c:pt>
                <c:pt idx="111">
                  <c:v>-27</c:v>
                </c:pt>
                <c:pt idx="112">
                  <c:v>-26.5833333333333</c:v>
                </c:pt>
                <c:pt idx="113">
                  <c:v>-26.1166666666667</c:v>
                </c:pt>
                <c:pt idx="114">
                  <c:v>-25.6666666666667</c:v>
                </c:pt>
                <c:pt idx="115">
                  <c:v>-25.2166666666667</c:v>
                </c:pt>
                <c:pt idx="116">
                  <c:v>-24.7333333333333</c:v>
                </c:pt>
                <c:pt idx="117">
                  <c:v>-24.2666666666667</c:v>
                </c:pt>
                <c:pt idx="118">
                  <c:v>-23.7833333333333</c:v>
                </c:pt>
                <c:pt idx="119">
                  <c:v>-23.3</c:v>
                </c:pt>
                <c:pt idx="120">
                  <c:v>-22.8166666666667</c:v>
                </c:pt>
                <c:pt idx="121">
                  <c:v>-22.3166666666667</c:v>
                </c:pt>
                <c:pt idx="122">
                  <c:v>-21.8166666666667</c:v>
                </c:pt>
                <c:pt idx="123">
                  <c:v>-21.3166666666667</c:v>
                </c:pt>
                <c:pt idx="124">
                  <c:v>-20.8166666666667</c:v>
                </c:pt>
                <c:pt idx="125">
                  <c:v>-20.3</c:v>
                </c:pt>
                <c:pt idx="126">
                  <c:v>-19.8</c:v>
                </c:pt>
                <c:pt idx="127">
                  <c:v>-19.2666666666667</c:v>
                </c:pt>
                <c:pt idx="128">
                  <c:v>-18.7666666666667</c:v>
                </c:pt>
                <c:pt idx="129">
                  <c:v>-18.25</c:v>
                </c:pt>
                <c:pt idx="130">
                  <c:v>-17.75</c:v>
                </c:pt>
                <c:pt idx="131">
                  <c:v>-17.25</c:v>
                </c:pt>
                <c:pt idx="132">
                  <c:v>-16.7333333333333</c:v>
                </c:pt>
                <c:pt idx="133">
                  <c:v>-16.2166666666667</c:v>
                </c:pt>
                <c:pt idx="134">
                  <c:v>-15.6833333333333</c:v>
                </c:pt>
                <c:pt idx="135">
                  <c:v>-15.1666666666667</c:v>
                </c:pt>
                <c:pt idx="136">
                  <c:v>-14.65</c:v>
                </c:pt>
                <c:pt idx="137">
                  <c:v>-14.15</c:v>
                </c:pt>
                <c:pt idx="138">
                  <c:v>-13.6</c:v>
                </c:pt>
                <c:pt idx="139">
                  <c:v>-13.0666666666667</c:v>
                </c:pt>
                <c:pt idx="140">
                  <c:v>-12.55</c:v>
                </c:pt>
                <c:pt idx="141">
                  <c:v>-12.0166666666667</c:v>
                </c:pt>
                <c:pt idx="142">
                  <c:v>-11.4833333333333</c:v>
                </c:pt>
                <c:pt idx="143">
                  <c:v>4.89264278799613</c:v>
                </c:pt>
                <c:pt idx="144">
                  <c:v>4.79670861568248</c:v>
                </c:pt>
                <c:pt idx="145">
                  <c:v>4.73275250080671</c:v>
                </c:pt>
                <c:pt idx="146">
                  <c:v>4.66879638593095</c:v>
                </c:pt>
                <c:pt idx="147">
                  <c:v>4.94060987415295</c:v>
                </c:pt>
                <c:pt idx="148">
                  <c:v>5.96390771216521</c:v>
                </c:pt>
                <c:pt idx="149">
                  <c:v>7.14709583736689</c:v>
                </c:pt>
                <c:pt idx="150">
                  <c:v>8.33028396256857</c:v>
                </c:pt>
                <c:pt idx="151">
                  <c:v>9.70534043239755</c:v>
                </c:pt>
                <c:pt idx="152">
                  <c:v>11.2083091319781</c:v>
                </c:pt>
                <c:pt idx="153">
                  <c:v>12.9031461761859</c:v>
                </c:pt>
                <c:pt idx="154">
                  <c:v>14.6779283639884</c:v>
                </c:pt>
                <c:pt idx="155">
                  <c:v>16.5486447241046</c:v>
                </c:pt>
                <c:pt idx="156">
                  <c:v>18.5472733139722</c:v>
                </c:pt>
                <c:pt idx="157">
                  <c:v>20.6898031623104</c:v>
                </c:pt>
                <c:pt idx="158">
                  <c:v>22.9282671829622</c:v>
                </c:pt>
                <c:pt idx="159">
                  <c:v>25.2946434333656</c:v>
                </c:pt>
                <c:pt idx="160">
                  <c:v>27.7729428848015</c:v>
                </c:pt>
                <c:pt idx="161">
                  <c:v>30.3631655372701</c:v>
                </c:pt>
                <c:pt idx="162">
                  <c:v>33.0333333333333</c:v>
                </c:pt>
                <c:pt idx="163">
                  <c:v>35.8314133591481</c:v>
                </c:pt>
                <c:pt idx="164">
                  <c:v>38.7094385285576</c:v>
                </c:pt>
                <c:pt idx="165">
                  <c:v>41.7153759277186</c:v>
                </c:pt>
                <c:pt idx="166">
                  <c:v>44.897192642788</c:v>
                </c:pt>
                <c:pt idx="167">
                  <c:v>48.1429654727331</c:v>
                </c:pt>
                <c:pt idx="168">
                  <c:v>51.5965956760245</c:v>
                </c:pt>
                <c:pt idx="169">
                  <c:v>55.0981929654727</c:v>
                </c:pt>
                <c:pt idx="170">
                  <c:v>58.7436915133914</c:v>
                </c:pt>
                <c:pt idx="171">
                  <c:v>62.4851242336237</c:v>
                </c:pt>
                <c:pt idx="172">
                  <c:v>66.2745240400129</c:v>
                </c:pt>
                <c:pt idx="173">
                  <c:v>70.2078251048725</c:v>
                </c:pt>
                <c:pt idx="174">
                  <c:v>74.0611810261375</c:v>
                </c:pt>
                <c:pt idx="175">
                  <c:v>78.0424491771539</c:v>
                </c:pt>
                <c:pt idx="176">
                  <c:v>81.8798160696999</c:v>
                </c:pt>
                <c:pt idx="177">
                  <c:v>85.8131171345595</c:v>
                </c:pt>
                <c:pt idx="178">
                  <c:v>89.8743304291707</c:v>
                </c:pt>
                <c:pt idx="179">
                  <c:v>93.5837850919652</c:v>
                </c:pt>
                <c:pt idx="180">
                  <c:v>97.3731848983543</c:v>
                </c:pt>
                <c:pt idx="181">
                  <c:v>101.130606647306</c:v>
                </c:pt>
                <c:pt idx="182">
                  <c:v>105.511600516296</c:v>
                </c:pt>
                <c:pt idx="183">
                  <c:v>110.036495643756</c:v>
                </c:pt>
                <c:pt idx="184">
                  <c:v>115.041061632785</c:v>
                </c:pt>
                <c:pt idx="185">
                  <c:v>120.813101000323</c:v>
                </c:pt>
                <c:pt idx="186">
                  <c:v>127.112778315586</c:v>
                </c:pt>
                <c:pt idx="187">
                  <c:v>133.636302032914</c:v>
                </c:pt>
                <c:pt idx="188">
                  <c:v>140.415650209745</c:v>
                </c:pt>
                <c:pt idx="189">
                  <c:v>147.354888673766</c:v>
                </c:pt>
                <c:pt idx="190">
                  <c:v>154.501984511133</c:v>
                </c:pt>
                <c:pt idx="191">
                  <c:v>161.761003549532</c:v>
                </c:pt>
                <c:pt idx="192">
                  <c:v>169.052000645369</c:v>
                </c:pt>
                <c:pt idx="193">
                  <c:v>176.486898999677</c:v>
                </c:pt>
                <c:pt idx="194">
                  <c:v>184.113665698612</c:v>
                </c:pt>
                <c:pt idx="195">
                  <c:v>191.836366569861</c:v>
                </c:pt>
                <c:pt idx="196">
                  <c:v>199.734946757018</c:v>
                </c:pt>
                <c:pt idx="197">
                  <c:v>207.87336237496</c:v>
                </c:pt>
                <c:pt idx="198">
                  <c:v>216.091723136496</c:v>
                </c:pt>
                <c:pt idx="199">
                  <c:v>224.422007099064</c:v>
                </c:pt>
                <c:pt idx="200">
                  <c:v>232.832236205228</c:v>
                </c:pt>
                <c:pt idx="201">
                  <c:v>241.386366569861</c:v>
                </c:pt>
                <c:pt idx="202">
                  <c:v>250.100387221684</c:v>
                </c:pt>
                <c:pt idx="203">
                  <c:v>258.830396902227</c:v>
                </c:pt>
                <c:pt idx="204">
                  <c:v>267.656340755082</c:v>
                </c:pt>
                <c:pt idx="205">
                  <c:v>276.482284607938</c:v>
                </c:pt>
                <c:pt idx="206">
                  <c:v>285.356195546951</c:v>
                </c:pt>
                <c:pt idx="207">
                  <c:v>294.182139399806</c:v>
                </c:pt>
                <c:pt idx="208">
                  <c:v>303.151984511133</c:v>
                </c:pt>
                <c:pt idx="209">
                  <c:v>312.185785737335</c:v>
                </c:pt>
                <c:pt idx="210">
                  <c:v>321.363488222007</c:v>
                </c:pt>
                <c:pt idx="211">
                  <c:v>330.605146821555</c:v>
                </c:pt>
                <c:pt idx="212">
                  <c:v>340.022684737012</c:v>
                </c:pt>
                <c:pt idx="213">
                  <c:v>349.504178767344</c:v>
                </c:pt>
                <c:pt idx="214">
                  <c:v>358.953694740239</c:v>
                </c:pt>
                <c:pt idx="215">
                  <c:v>368.45117779929</c:v>
                </c:pt>
                <c:pt idx="216">
                  <c:v>378.028606001936</c:v>
                </c:pt>
                <c:pt idx="217">
                  <c:v>387.558067118425</c:v>
                </c:pt>
                <c:pt idx="218">
                  <c:v>397.087528234915</c:v>
                </c:pt>
                <c:pt idx="219">
                  <c:v>406.760890609874</c:v>
                </c:pt>
                <c:pt idx="220">
                  <c:v>416.402274927396</c:v>
                </c:pt>
                <c:pt idx="221">
                  <c:v>425.915747015166</c:v>
                </c:pt>
                <c:pt idx="222">
                  <c:v>435.493175217812</c:v>
                </c:pt>
                <c:pt idx="223">
                  <c:v>445.070603420458</c:v>
                </c:pt>
                <c:pt idx="224">
                  <c:v>454.600064536947</c:v>
                </c:pt>
                <c:pt idx="225">
                  <c:v>464.22545982575</c:v>
                </c:pt>
                <c:pt idx="226">
                  <c:v>473.882833171991</c:v>
                </c:pt>
                <c:pt idx="227">
                  <c:v>483.57218457567</c:v>
                </c:pt>
                <c:pt idx="228">
                  <c:v>493.197579864472</c:v>
                </c:pt>
                <c:pt idx="229">
                  <c:v>503.04682155534</c:v>
                </c:pt>
                <c:pt idx="230">
                  <c:v>512.336447241046</c:v>
                </c:pt>
                <c:pt idx="231">
                  <c:v>521.977831558567</c:v>
                </c:pt>
                <c:pt idx="232">
                  <c:v>531.699161019684</c:v>
                </c:pt>
                <c:pt idx="233">
                  <c:v>541.388512423362</c:v>
                </c:pt>
                <c:pt idx="234">
                  <c:v>551.429622458858</c:v>
                </c:pt>
                <c:pt idx="235">
                  <c:v>561.470732494353</c:v>
                </c:pt>
                <c:pt idx="236">
                  <c:v>570.792336237496</c:v>
                </c:pt>
                <c:pt idx="237">
                  <c:v>580.002016779606</c:v>
                </c:pt>
                <c:pt idx="238">
                  <c:v>588.684059373992</c:v>
                </c:pt>
                <c:pt idx="239">
                  <c:v>597.286156824782</c:v>
                </c:pt>
                <c:pt idx="240">
                  <c:v>605.552484672475</c:v>
                </c:pt>
                <c:pt idx="241">
                  <c:v>613.515020974508</c:v>
                </c:pt>
                <c:pt idx="242">
                  <c:v>621.285688931914</c:v>
                </c:pt>
                <c:pt idx="243">
                  <c:v>629.056356889319</c:v>
                </c:pt>
                <c:pt idx="244">
                  <c:v>636.811035818006</c:v>
                </c:pt>
                <c:pt idx="245">
                  <c:v>644.661648919006</c:v>
                </c:pt>
                <c:pt idx="246">
                  <c:v>652.784075508229</c:v>
                </c:pt>
                <c:pt idx="247">
                  <c:v>661.242271700549</c:v>
                </c:pt>
                <c:pt idx="248">
                  <c:v>669.940303323653</c:v>
                </c:pt>
                <c:pt idx="249">
                  <c:v>678.75025814779</c:v>
                </c:pt>
                <c:pt idx="250">
                  <c:v>687.672136172959</c:v>
                </c:pt>
                <c:pt idx="251">
                  <c:v>696.72192642788</c:v>
                </c:pt>
                <c:pt idx="252">
                  <c:v>705.819683768958</c:v>
                </c:pt>
                <c:pt idx="253">
                  <c:v>714.933430138754</c:v>
                </c:pt>
                <c:pt idx="254">
                  <c:v>724.111132623427</c:v>
                </c:pt>
                <c:pt idx="255">
                  <c:v>733.464714424008</c:v>
                </c:pt>
                <c:pt idx="256">
                  <c:v>742.866263310745</c:v>
                </c:pt>
                <c:pt idx="257">
                  <c:v>752.507647628267</c:v>
                </c:pt>
                <c:pt idx="258">
                  <c:v>762.548757663763</c:v>
                </c:pt>
                <c:pt idx="259">
                  <c:v>772.781736043885</c:v>
                </c:pt>
                <c:pt idx="260">
                  <c:v>782.902791222975</c:v>
                </c:pt>
                <c:pt idx="261">
                  <c:v>792.911923201033</c:v>
                </c:pt>
                <c:pt idx="262">
                  <c:v>802.825121006776</c:v>
                </c:pt>
                <c:pt idx="263">
                  <c:v>812.834252984834</c:v>
                </c:pt>
                <c:pt idx="264">
                  <c:v>822.491626331075</c:v>
                </c:pt>
                <c:pt idx="265">
                  <c:v>831.62136172959</c:v>
                </c:pt>
                <c:pt idx="266">
                  <c:v>840.271426266538</c:v>
                </c:pt>
                <c:pt idx="267">
                  <c:v>848.761600516296</c:v>
                </c:pt>
                <c:pt idx="268">
                  <c:v>857.395676024524</c:v>
                </c:pt>
                <c:pt idx="269">
                  <c:v>866.637334624072</c:v>
                </c:pt>
                <c:pt idx="270">
                  <c:v>876.630477573411</c:v>
                </c:pt>
                <c:pt idx="271">
                  <c:v>887.007357212004</c:v>
                </c:pt>
                <c:pt idx="272">
                  <c:v>897.847918683446</c:v>
                </c:pt>
                <c:pt idx="273">
                  <c:v>908.608535011294</c:v>
                </c:pt>
                <c:pt idx="274">
                  <c:v>919.513052597612</c:v>
                </c:pt>
                <c:pt idx="275">
                  <c:v>930.593449499839</c:v>
                </c:pt>
                <c:pt idx="276">
                  <c:v>942.185495321071</c:v>
                </c:pt>
                <c:pt idx="277">
                  <c:v>953.521716682801</c:v>
                </c:pt>
                <c:pt idx="278">
                  <c:v>964.522168441433</c:v>
                </c:pt>
                <c:pt idx="279">
                  <c:v>975.330751855437</c:v>
                </c:pt>
                <c:pt idx="280">
                  <c:v>986.203291384318</c:v>
                </c:pt>
                <c:pt idx="281">
                  <c:v>996.484236850597</c:v>
                </c:pt>
                <c:pt idx="282">
                  <c:v>1007.05298483382</c:v>
                </c:pt>
                <c:pt idx="283">
                  <c:v>1012.48925459826</c:v>
                </c:pt>
                <c:pt idx="284">
                  <c:v>1012.55321071313</c:v>
                </c:pt>
                <c:pt idx="285">
                  <c:v>1012.58518877057</c:v>
                </c:pt>
                <c:pt idx="286">
                  <c:v>3.78</c:v>
                </c:pt>
                <c:pt idx="287">
                  <c:v>3.78</c:v>
                </c:pt>
                <c:pt idx="288">
                  <c:v>3.78066666666667</c:v>
                </c:pt>
                <c:pt idx="289">
                  <c:v>3.78066666666667</c:v>
                </c:pt>
                <c:pt idx="290">
                  <c:v>3.78333333333333</c:v>
                </c:pt>
                <c:pt idx="291">
                  <c:v>3.78333333333333</c:v>
                </c:pt>
                <c:pt idx="292">
                  <c:v>3.78333333333333</c:v>
                </c:pt>
                <c:pt idx="293">
                  <c:v>3.78333333333333</c:v>
                </c:pt>
                <c:pt idx="294">
                  <c:v>3.784</c:v>
                </c:pt>
                <c:pt idx="295">
                  <c:v>3.78533333333333</c:v>
                </c:pt>
                <c:pt idx="296">
                  <c:v>3.786</c:v>
                </c:pt>
                <c:pt idx="297">
                  <c:v>3.786</c:v>
                </c:pt>
                <c:pt idx="298">
                  <c:v>3.78733333333333</c:v>
                </c:pt>
                <c:pt idx="299">
                  <c:v>3.786</c:v>
                </c:pt>
                <c:pt idx="300">
                  <c:v>3.784</c:v>
                </c:pt>
                <c:pt idx="301">
                  <c:v>3.784</c:v>
                </c:pt>
                <c:pt idx="302">
                  <c:v>3.784</c:v>
                </c:pt>
                <c:pt idx="303">
                  <c:v>3.78333333333333</c:v>
                </c:pt>
                <c:pt idx="304">
                  <c:v>3.78333333333333</c:v>
                </c:pt>
                <c:pt idx="305">
                  <c:v>3.78066666666667</c:v>
                </c:pt>
                <c:pt idx="306">
                  <c:v>3.78133333333333</c:v>
                </c:pt>
                <c:pt idx="307">
                  <c:v>3.78</c:v>
                </c:pt>
                <c:pt idx="308">
                  <c:v>3.77733333333333</c:v>
                </c:pt>
                <c:pt idx="309">
                  <c:v>3.776</c:v>
                </c:pt>
                <c:pt idx="310">
                  <c:v>3.774</c:v>
                </c:pt>
                <c:pt idx="311">
                  <c:v>3.77266666666667</c:v>
                </c:pt>
                <c:pt idx="312">
                  <c:v>3.772</c:v>
                </c:pt>
                <c:pt idx="313">
                  <c:v>3.76866666666667</c:v>
                </c:pt>
                <c:pt idx="314">
                  <c:v>3.768</c:v>
                </c:pt>
                <c:pt idx="315">
                  <c:v>3.76533333333333</c:v>
                </c:pt>
                <c:pt idx="316">
                  <c:v>3.76333333333333</c:v>
                </c:pt>
                <c:pt idx="317">
                  <c:v>3.76133333333333</c:v>
                </c:pt>
                <c:pt idx="318">
                  <c:v>3.75933333333333</c:v>
                </c:pt>
                <c:pt idx="319">
                  <c:v>3.756</c:v>
                </c:pt>
                <c:pt idx="320">
                  <c:v>3.754</c:v>
                </c:pt>
                <c:pt idx="321">
                  <c:v>3.752</c:v>
                </c:pt>
                <c:pt idx="322">
                  <c:v>3.74933333333333</c:v>
                </c:pt>
                <c:pt idx="323">
                  <c:v>3.74666666666667</c:v>
                </c:pt>
                <c:pt idx="324">
                  <c:v>3.746</c:v>
                </c:pt>
                <c:pt idx="325">
                  <c:v>3.74066666666667</c:v>
                </c:pt>
                <c:pt idx="326">
                  <c:v>3.73933333333333</c:v>
                </c:pt>
                <c:pt idx="327">
                  <c:v>3.738</c:v>
                </c:pt>
                <c:pt idx="328">
                  <c:v>3.73533333333333</c:v>
                </c:pt>
                <c:pt idx="329">
                  <c:v>3.734</c:v>
                </c:pt>
                <c:pt idx="330">
                  <c:v>3.73133333333333</c:v>
                </c:pt>
                <c:pt idx="331">
                  <c:v>3.728</c:v>
                </c:pt>
                <c:pt idx="332">
                  <c:v>3.72466666666667</c:v>
                </c:pt>
                <c:pt idx="333">
                  <c:v>3.72333333333333</c:v>
                </c:pt>
                <c:pt idx="334">
                  <c:v>3.72</c:v>
                </c:pt>
                <c:pt idx="335">
                  <c:v>3.71733333333333</c:v>
                </c:pt>
                <c:pt idx="336">
                  <c:v>3.714</c:v>
                </c:pt>
                <c:pt idx="337">
                  <c:v>3.71066666666667</c:v>
                </c:pt>
                <c:pt idx="338">
                  <c:v>3.70533333333333</c:v>
                </c:pt>
                <c:pt idx="339">
                  <c:v>3.70133333333333</c:v>
                </c:pt>
                <c:pt idx="340">
                  <c:v>3.69666666666667</c:v>
                </c:pt>
                <c:pt idx="341">
                  <c:v>3.69466666666667</c:v>
                </c:pt>
                <c:pt idx="342">
                  <c:v>3.69</c:v>
                </c:pt>
                <c:pt idx="343">
                  <c:v>3.684</c:v>
                </c:pt>
                <c:pt idx="344">
                  <c:v>3.68</c:v>
                </c:pt>
                <c:pt idx="345">
                  <c:v>3.67733333333333</c:v>
                </c:pt>
                <c:pt idx="346">
                  <c:v>3.674</c:v>
                </c:pt>
                <c:pt idx="347">
                  <c:v>3.67</c:v>
                </c:pt>
                <c:pt idx="348">
                  <c:v>3.66533333333333</c:v>
                </c:pt>
                <c:pt idx="349">
                  <c:v>3.66266666666667</c:v>
                </c:pt>
                <c:pt idx="350">
                  <c:v>3.65933333333333</c:v>
                </c:pt>
                <c:pt idx="351">
                  <c:v>3.65533333333333</c:v>
                </c:pt>
                <c:pt idx="352">
                  <c:v>3.652</c:v>
                </c:pt>
                <c:pt idx="353">
                  <c:v>3.65</c:v>
                </c:pt>
                <c:pt idx="354">
                  <c:v>3.648</c:v>
                </c:pt>
                <c:pt idx="355">
                  <c:v>3.64466666666667</c:v>
                </c:pt>
                <c:pt idx="356">
                  <c:v>3.64266666666667</c:v>
                </c:pt>
                <c:pt idx="357">
                  <c:v>3.64</c:v>
                </c:pt>
                <c:pt idx="358">
                  <c:v>3.64</c:v>
                </c:pt>
                <c:pt idx="359">
                  <c:v>3.63866666666667</c:v>
                </c:pt>
                <c:pt idx="360">
                  <c:v>3.638</c:v>
                </c:pt>
                <c:pt idx="361">
                  <c:v>3.636</c:v>
                </c:pt>
                <c:pt idx="362">
                  <c:v>3.636</c:v>
                </c:pt>
                <c:pt idx="363">
                  <c:v>3.636</c:v>
                </c:pt>
                <c:pt idx="364">
                  <c:v>3.63666666666667</c:v>
                </c:pt>
                <c:pt idx="365">
                  <c:v>3.63666666666667</c:v>
                </c:pt>
                <c:pt idx="366">
                  <c:v>3.63866666666667</c:v>
                </c:pt>
                <c:pt idx="367">
                  <c:v>3.64</c:v>
                </c:pt>
                <c:pt idx="368">
                  <c:v>3.64333333333333</c:v>
                </c:pt>
                <c:pt idx="369">
                  <c:v>3.644</c:v>
                </c:pt>
                <c:pt idx="370">
                  <c:v>3.64733333333333</c:v>
                </c:pt>
                <c:pt idx="371">
                  <c:v>3.64866666666667</c:v>
                </c:pt>
                <c:pt idx="372">
                  <c:v>3.652</c:v>
                </c:pt>
                <c:pt idx="373">
                  <c:v>3.652</c:v>
                </c:pt>
                <c:pt idx="374">
                  <c:v>3.658</c:v>
                </c:pt>
                <c:pt idx="375">
                  <c:v>3.662</c:v>
                </c:pt>
                <c:pt idx="376">
                  <c:v>3.664</c:v>
                </c:pt>
                <c:pt idx="377">
                  <c:v>3.66666666666667</c:v>
                </c:pt>
                <c:pt idx="378">
                  <c:v>3.674</c:v>
                </c:pt>
                <c:pt idx="379">
                  <c:v>3.676</c:v>
                </c:pt>
                <c:pt idx="380">
                  <c:v>3.682</c:v>
                </c:pt>
                <c:pt idx="381">
                  <c:v>3.68533333333333</c:v>
                </c:pt>
                <c:pt idx="382">
                  <c:v>3.692</c:v>
                </c:pt>
                <c:pt idx="383">
                  <c:v>3.69666666666667</c:v>
                </c:pt>
                <c:pt idx="384">
                  <c:v>3.702</c:v>
                </c:pt>
                <c:pt idx="385">
                  <c:v>3.706</c:v>
                </c:pt>
                <c:pt idx="386">
                  <c:v>3.71133333333333</c:v>
                </c:pt>
                <c:pt idx="387">
                  <c:v>3.71666666666667</c:v>
                </c:pt>
                <c:pt idx="388">
                  <c:v>3.72266666666667</c:v>
                </c:pt>
                <c:pt idx="389">
                  <c:v>3.726</c:v>
                </c:pt>
                <c:pt idx="390">
                  <c:v>3.73266666666667</c:v>
                </c:pt>
                <c:pt idx="391">
                  <c:v>3.73733333333333</c:v>
                </c:pt>
                <c:pt idx="392">
                  <c:v>3.744</c:v>
                </c:pt>
                <c:pt idx="393">
                  <c:v>3.74933333333333</c:v>
                </c:pt>
                <c:pt idx="394">
                  <c:v>3.75333333333333</c:v>
                </c:pt>
                <c:pt idx="395">
                  <c:v>3.75866666666667</c:v>
                </c:pt>
                <c:pt idx="396">
                  <c:v>3.76533333333333</c:v>
                </c:pt>
                <c:pt idx="397">
                  <c:v>3.76866666666667</c:v>
                </c:pt>
                <c:pt idx="398">
                  <c:v>3.77333333333333</c:v>
                </c:pt>
                <c:pt idx="399">
                  <c:v>3.778</c:v>
                </c:pt>
                <c:pt idx="400">
                  <c:v>3.78333333333333</c:v>
                </c:pt>
                <c:pt idx="401">
                  <c:v>3.78933333333333</c:v>
                </c:pt>
                <c:pt idx="402">
                  <c:v>3.79466666666667</c:v>
                </c:pt>
                <c:pt idx="403">
                  <c:v>3.80133333333333</c:v>
                </c:pt>
                <c:pt idx="404">
                  <c:v>3.806</c:v>
                </c:pt>
                <c:pt idx="405">
                  <c:v>3.81266666666667</c:v>
                </c:pt>
                <c:pt idx="406">
                  <c:v>3.81733333333333</c:v>
                </c:pt>
                <c:pt idx="407">
                  <c:v>3.82266666666667</c:v>
                </c:pt>
                <c:pt idx="408">
                  <c:v>3.82866666666667</c:v>
                </c:pt>
                <c:pt idx="409">
                  <c:v>3.834</c:v>
                </c:pt>
                <c:pt idx="410">
                  <c:v>3.84</c:v>
                </c:pt>
                <c:pt idx="411">
                  <c:v>3.84533333333333</c:v>
                </c:pt>
                <c:pt idx="412">
                  <c:v>3.85066666666667</c:v>
                </c:pt>
                <c:pt idx="413">
                  <c:v>3.856</c:v>
                </c:pt>
                <c:pt idx="414">
                  <c:v>3.86133333333333</c:v>
                </c:pt>
                <c:pt idx="415">
                  <c:v>3.86533333333333</c:v>
                </c:pt>
                <c:pt idx="416">
                  <c:v>3.86933333333333</c:v>
                </c:pt>
                <c:pt idx="417">
                  <c:v>3.874</c:v>
                </c:pt>
                <c:pt idx="418">
                  <c:v>3.87933333333333</c:v>
                </c:pt>
                <c:pt idx="419">
                  <c:v>3.884</c:v>
                </c:pt>
                <c:pt idx="420">
                  <c:v>3.88733333333333</c:v>
                </c:pt>
                <c:pt idx="421">
                  <c:v>3.892</c:v>
                </c:pt>
                <c:pt idx="422">
                  <c:v>3.89533333333333</c:v>
                </c:pt>
                <c:pt idx="423">
                  <c:v>3.9</c:v>
                </c:pt>
                <c:pt idx="424">
                  <c:v>3.90266666666667</c:v>
                </c:pt>
                <c:pt idx="425">
                  <c:v>3.908</c:v>
                </c:pt>
                <c:pt idx="426">
                  <c:v>3.91066666666667</c:v>
                </c:pt>
                <c:pt idx="427">
                  <c:v>3.91466666666667</c:v>
                </c:pt>
                <c:pt idx="428">
                  <c:v>3.91733333333333</c:v>
                </c:pt>
                <c:pt idx="429">
                  <c:v>-25.3333333333333</c:v>
                </c:pt>
                <c:pt idx="430">
                  <c:v>-25.1666666666667</c:v>
                </c:pt>
                <c:pt idx="431">
                  <c:v>-25.3333333333333</c:v>
                </c:pt>
                <c:pt idx="432">
                  <c:v>-25</c:v>
                </c:pt>
                <c:pt idx="433">
                  <c:v>-25</c:v>
                </c:pt>
                <c:pt idx="434">
                  <c:v>-25.1666666666667</c:v>
                </c:pt>
                <c:pt idx="435">
                  <c:v>-25.1666666666667</c:v>
                </c:pt>
                <c:pt idx="436">
                  <c:v>-25.1666666666667</c:v>
                </c:pt>
                <c:pt idx="437">
                  <c:v>-25.3333333333333</c:v>
                </c:pt>
                <c:pt idx="438">
                  <c:v>-24.8333333333333</c:v>
                </c:pt>
                <c:pt idx="439">
                  <c:v>-24.8333333333333</c:v>
                </c:pt>
                <c:pt idx="440">
                  <c:v>-24.8333333333333</c:v>
                </c:pt>
                <c:pt idx="441">
                  <c:v>-25.5</c:v>
                </c:pt>
                <c:pt idx="442">
                  <c:v>-25.3333333333333</c:v>
                </c:pt>
                <c:pt idx="443">
                  <c:v>-25.5</c:v>
                </c:pt>
                <c:pt idx="444">
                  <c:v>-25.5</c:v>
                </c:pt>
                <c:pt idx="445">
                  <c:v>-25.3333333333333</c:v>
                </c:pt>
                <c:pt idx="446">
                  <c:v>-25.3333333333333</c:v>
                </c:pt>
                <c:pt idx="447">
                  <c:v>-25.5</c:v>
                </c:pt>
                <c:pt idx="448">
                  <c:v>-25</c:v>
                </c:pt>
                <c:pt idx="449">
                  <c:v>-24.8333333333333</c:v>
                </c:pt>
                <c:pt idx="450">
                  <c:v>-25</c:v>
                </c:pt>
                <c:pt idx="451">
                  <c:v>-24.5</c:v>
                </c:pt>
                <c:pt idx="452">
                  <c:v>-25</c:v>
                </c:pt>
                <c:pt idx="453">
                  <c:v>-25.1666666666667</c:v>
                </c:pt>
                <c:pt idx="454">
                  <c:v>-25.3333333333333</c:v>
                </c:pt>
                <c:pt idx="455">
                  <c:v>-25.5</c:v>
                </c:pt>
                <c:pt idx="456">
                  <c:v>-25.1666666666667</c:v>
                </c:pt>
                <c:pt idx="457">
                  <c:v>-25</c:v>
                </c:pt>
                <c:pt idx="458">
                  <c:v>-24.6666666666667</c:v>
                </c:pt>
                <c:pt idx="459">
                  <c:v>-25.1666666666667</c:v>
                </c:pt>
                <c:pt idx="460">
                  <c:v>-25</c:v>
                </c:pt>
                <c:pt idx="461">
                  <c:v>-25.8333333333333</c:v>
                </c:pt>
                <c:pt idx="462">
                  <c:v>-24.8333333333333</c:v>
                </c:pt>
                <c:pt idx="463">
                  <c:v>-25</c:v>
                </c:pt>
                <c:pt idx="464">
                  <c:v>-25.3333333333333</c:v>
                </c:pt>
                <c:pt idx="465">
                  <c:v>-25.6666666666667</c:v>
                </c:pt>
                <c:pt idx="466">
                  <c:v>-24</c:v>
                </c:pt>
                <c:pt idx="467">
                  <c:v>-25</c:v>
                </c:pt>
                <c:pt idx="468">
                  <c:v>-25.1666666666667</c:v>
                </c:pt>
                <c:pt idx="469">
                  <c:v>-24.6666666666667</c:v>
                </c:pt>
                <c:pt idx="470">
                  <c:v>-24.8333333333333</c:v>
                </c:pt>
                <c:pt idx="471">
                  <c:v>-23.6666666666667</c:v>
                </c:pt>
                <c:pt idx="472">
                  <c:v>-25.1666666666667</c:v>
                </c:pt>
                <c:pt idx="473">
                  <c:v>-24</c:v>
                </c:pt>
                <c:pt idx="474">
                  <c:v>-25.5</c:v>
                </c:pt>
                <c:pt idx="475">
                  <c:v>-23.8333333333333</c:v>
                </c:pt>
                <c:pt idx="476">
                  <c:v>-25.1666666666667</c:v>
                </c:pt>
                <c:pt idx="477">
                  <c:v>-23.6666666666667</c:v>
                </c:pt>
                <c:pt idx="478">
                  <c:v>-25.5</c:v>
                </c:pt>
                <c:pt idx="479">
                  <c:v>-23.3333333333333</c:v>
                </c:pt>
                <c:pt idx="480">
                  <c:v>-23.8333333333333</c:v>
                </c:pt>
                <c:pt idx="481">
                  <c:v>-25.3333333333333</c:v>
                </c:pt>
                <c:pt idx="482">
                  <c:v>-23.3333333333333</c:v>
                </c:pt>
                <c:pt idx="483">
                  <c:v>-23.5</c:v>
                </c:pt>
                <c:pt idx="484">
                  <c:v>-25.1666666666667</c:v>
                </c:pt>
                <c:pt idx="485">
                  <c:v>-25</c:v>
                </c:pt>
                <c:pt idx="486">
                  <c:v>-23.3333333333333</c:v>
                </c:pt>
                <c:pt idx="487">
                  <c:v>-23.5</c:v>
                </c:pt>
                <c:pt idx="488">
                  <c:v>-23.6666666666667</c:v>
                </c:pt>
                <c:pt idx="489">
                  <c:v>-24.8333333333333</c:v>
                </c:pt>
                <c:pt idx="490">
                  <c:v>-25.6666666666667</c:v>
                </c:pt>
                <c:pt idx="491">
                  <c:v>-26.3333333333333</c:v>
                </c:pt>
                <c:pt idx="492">
                  <c:v>-23.3333333333333</c:v>
                </c:pt>
                <c:pt idx="493">
                  <c:v>-23.3333333333333</c:v>
                </c:pt>
                <c:pt idx="494">
                  <c:v>-23</c:v>
                </c:pt>
                <c:pt idx="495">
                  <c:v>-23</c:v>
                </c:pt>
                <c:pt idx="496">
                  <c:v>-23</c:v>
                </c:pt>
                <c:pt idx="497">
                  <c:v>-23</c:v>
                </c:pt>
                <c:pt idx="498">
                  <c:v>-23.6666666666667</c:v>
                </c:pt>
                <c:pt idx="499">
                  <c:v>-23.6666666666667</c:v>
                </c:pt>
                <c:pt idx="500">
                  <c:v>-23</c:v>
                </c:pt>
                <c:pt idx="501">
                  <c:v>-23.5</c:v>
                </c:pt>
                <c:pt idx="502">
                  <c:v>-23.5</c:v>
                </c:pt>
                <c:pt idx="503">
                  <c:v>-23.3333333333333</c:v>
                </c:pt>
                <c:pt idx="504">
                  <c:v>-24</c:v>
                </c:pt>
                <c:pt idx="505">
                  <c:v>-23.1666666666667</c:v>
                </c:pt>
                <c:pt idx="506">
                  <c:v>-23.1666666666667</c:v>
                </c:pt>
                <c:pt idx="507">
                  <c:v>-23</c:v>
                </c:pt>
                <c:pt idx="508">
                  <c:v>-23.3333333333333</c:v>
                </c:pt>
                <c:pt idx="509">
                  <c:v>-23.3333333333333</c:v>
                </c:pt>
                <c:pt idx="510">
                  <c:v>-23</c:v>
                </c:pt>
                <c:pt idx="511">
                  <c:v>-23.8333333333333</c:v>
                </c:pt>
                <c:pt idx="512">
                  <c:v>-24</c:v>
                </c:pt>
                <c:pt idx="513">
                  <c:v>-25.3333333333333</c:v>
                </c:pt>
                <c:pt idx="514">
                  <c:v>-25.8333333333333</c:v>
                </c:pt>
                <c:pt idx="515">
                  <c:v>-23.3333333333333</c:v>
                </c:pt>
                <c:pt idx="516">
                  <c:v>-23.3333333333333</c:v>
                </c:pt>
                <c:pt idx="517">
                  <c:v>-23.8333333333333</c:v>
                </c:pt>
                <c:pt idx="518">
                  <c:v>-25.3333333333333</c:v>
                </c:pt>
                <c:pt idx="519">
                  <c:v>-23.3333333333333</c:v>
                </c:pt>
                <c:pt idx="520">
                  <c:v>-23.6666666666667</c:v>
                </c:pt>
                <c:pt idx="521">
                  <c:v>-25.6666666666667</c:v>
                </c:pt>
                <c:pt idx="522">
                  <c:v>-23.3333333333333</c:v>
                </c:pt>
                <c:pt idx="523">
                  <c:v>-24.8333333333333</c:v>
                </c:pt>
                <c:pt idx="524">
                  <c:v>-24</c:v>
                </c:pt>
                <c:pt idx="525">
                  <c:v>-24.8333333333333</c:v>
                </c:pt>
                <c:pt idx="526">
                  <c:v>-23.5</c:v>
                </c:pt>
                <c:pt idx="527">
                  <c:v>-25</c:v>
                </c:pt>
                <c:pt idx="528">
                  <c:v>-24</c:v>
                </c:pt>
                <c:pt idx="529">
                  <c:v>-24.8333333333333</c:v>
                </c:pt>
                <c:pt idx="530">
                  <c:v>-24.8333333333333</c:v>
                </c:pt>
                <c:pt idx="531">
                  <c:v>-25</c:v>
                </c:pt>
                <c:pt idx="532">
                  <c:v>-23.8333333333333</c:v>
                </c:pt>
                <c:pt idx="533">
                  <c:v>-24.1666666666667</c:v>
                </c:pt>
                <c:pt idx="534">
                  <c:v>-24.1666666666667</c:v>
                </c:pt>
                <c:pt idx="535">
                  <c:v>-24.1666666666667</c:v>
                </c:pt>
                <c:pt idx="536">
                  <c:v>-24.1666666666667</c:v>
                </c:pt>
                <c:pt idx="537">
                  <c:v>-24.5</c:v>
                </c:pt>
                <c:pt idx="538">
                  <c:v>-25.1666666666667</c:v>
                </c:pt>
                <c:pt idx="539">
                  <c:v>-24.3333333333333</c:v>
                </c:pt>
                <c:pt idx="540">
                  <c:v>-24.6666666666667</c:v>
                </c:pt>
                <c:pt idx="541">
                  <c:v>-24.3333333333333</c:v>
                </c:pt>
                <c:pt idx="542">
                  <c:v>-25.3333333333333</c:v>
                </c:pt>
                <c:pt idx="543">
                  <c:v>-24.8333333333333</c:v>
                </c:pt>
                <c:pt idx="544">
                  <c:v>-25.1666666666667</c:v>
                </c:pt>
                <c:pt idx="545">
                  <c:v>-25</c:v>
                </c:pt>
                <c:pt idx="546">
                  <c:v>-25.6666666666667</c:v>
                </c:pt>
                <c:pt idx="547">
                  <c:v>-25.1666666666667</c:v>
                </c:pt>
                <c:pt idx="548">
                  <c:v>-25.1666666666667</c:v>
                </c:pt>
                <c:pt idx="549">
                  <c:v>-25.5</c:v>
                </c:pt>
                <c:pt idx="550">
                  <c:v>-25.3333333333333</c:v>
                </c:pt>
                <c:pt idx="551">
                  <c:v>-25.1666666666667</c:v>
                </c:pt>
                <c:pt idx="552">
                  <c:v>-24.5</c:v>
                </c:pt>
                <c:pt idx="553">
                  <c:v>-25.8333333333333</c:v>
                </c:pt>
                <c:pt idx="554">
                  <c:v>-25.1666666666667</c:v>
                </c:pt>
                <c:pt idx="555">
                  <c:v>-25.6666666666667</c:v>
                </c:pt>
                <c:pt idx="556">
                  <c:v>-24.6666666666667</c:v>
                </c:pt>
                <c:pt idx="557">
                  <c:v>-25.1666666666667</c:v>
                </c:pt>
                <c:pt idx="558">
                  <c:v>-24.8333333333333</c:v>
                </c:pt>
                <c:pt idx="559">
                  <c:v>-24.6666666666667</c:v>
                </c:pt>
                <c:pt idx="560">
                  <c:v>-24.3333333333333</c:v>
                </c:pt>
                <c:pt idx="561">
                  <c:v>-24.5</c:v>
                </c:pt>
                <c:pt idx="562">
                  <c:v>-25</c:v>
                </c:pt>
                <c:pt idx="563">
                  <c:v>-24.6666666666667</c:v>
                </c:pt>
                <c:pt idx="564">
                  <c:v>-24.6666666666667</c:v>
                </c:pt>
                <c:pt idx="565">
                  <c:v>-24.5</c:v>
                </c:pt>
                <c:pt idx="566">
                  <c:v>-23.3333333333333</c:v>
                </c:pt>
                <c:pt idx="567">
                  <c:v>-25.1666666666667</c:v>
                </c:pt>
                <c:pt idx="568">
                  <c:v>-25.1666666666667</c:v>
                </c:pt>
                <c:pt idx="569">
                  <c:v>-25</c:v>
                </c:pt>
                <c:pt idx="570">
                  <c:v>-24.5</c:v>
                </c:pt>
                <c:pt idx="571">
                  <c:v>-24.8333333333333</c:v>
                </c:pt>
                <c:pt idx="572">
                  <c:v>37578</c:v>
                </c:pt>
                <c:pt idx="573">
                  <c:v>37252</c:v>
                </c:pt>
                <c:pt idx="574">
                  <c:v>35766</c:v>
                </c:pt>
                <c:pt idx="575">
                  <c:v>34352</c:v>
                </c:pt>
                <c:pt idx="576">
                  <c:v>33197</c:v>
                </c:pt>
                <c:pt idx="577">
                  <c:v>32118</c:v>
                </c:pt>
                <c:pt idx="578">
                  <c:v>31073</c:v>
                </c:pt>
                <c:pt idx="579">
                  <c:v>30065</c:v>
                </c:pt>
                <c:pt idx="580">
                  <c:v>29183</c:v>
                </c:pt>
                <c:pt idx="581">
                  <c:v>28368</c:v>
                </c:pt>
                <c:pt idx="582">
                  <c:v>27583</c:v>
                </c:pt>
                <c:pt idx="583">
                  <c:v>26866</c:v>
                </c:pt>
                <c:pt idx="584">
                  <c:v>26186</c:v>
                </c:pt>
                <c:pt idx="585">
                  <c:v>25518</c:v>
                </c:pt>
                <c:pt idx="586">
                  <c:v>24870</c:v>
                </c:pt>
                <c:pt idx="587">
                  <c:v>24256</c:v>
                </c:pt>
                <c:pt idx="588">
                  <c:v>23695</c:v>
                </c:pt>
                <c:pt idx="589">
                  <c:v>23173</c:v>
                </c:pt>
                <c:pt idx="590">
                  <c:v>22662</c:v>
                </c:pt>
                <c:pt idx="591">
                  <c:v>22182</c:v>
                </c:pt>
                <c:pt idx="592">
                  <c:v>21723</c:v>
                </c:pt>
                <c:pt idx="593">
                  <c:v>21237</c:v>
                </c:pt>
                <c:pt idx="594">
                  <c:v>20779</c:v>
                </c:pt>
                <c:pt idx="595">
                  <c:v>20363</c:v>
                </c:pt>
                <c:pt idx="596">
                  <c:v>19950</c:v>
                </c:pt>
                <c:pt idx="597">
                  <c:v>19545</c:v>
                </c:pt>
                <c:pt idx="598">
                  <c:v>19150</c:v>
                </c:pt>
                <c:pt idx="599">
                  <c:v>18789</c:v>
                </c:pt>
                <c:pt idx="600">
                  <c:v>18450</c:v>
                </c:pt>
                <c:pt idx="601">
                  <c:v>18116</c:v>
                </c:pt>
                <c:pt idx="602">
                  <c:v>17813</c:v>
                </c:pt>
                <c:pt idx="603">
                  <c:v>17496</c:v>
                </c:pt>
                <c:pt idx="604">
                  <c:v>17186</c:v>
                </c:pt>
                <c:pt idx="605">
                  <c:v>16934</c:v>
                </c:pt>
                <c:pt idx="606">
                  <c:v>16684</c:v>
                </c:pt>
                <c:pt idx="607">
                  <c:v>16453</c:v>
                </c:pt>
                <c:pt idx="608">
                  <c:v>16195</c:v>
                </c:pt>
                <c:pt idx="609">
                  <c:v>15933</c:v>
                </c:pt>
                <c:pt idx="610">
                  <c:v>15657</c:v>
                </c:pt>
                <c:pt idx="611">
                  <c:v>15366</c:v>
                </c:pt>
                <c:pt idx="612">
                  <c:v>15031</c:v>
                </c:pt>
                <c:pt idx="613">
                  <c:v>14709</c:v>
                </c:pt>
                <c:pt idx="614">
                  <c:v>14402</c:v>
                </c:pt>
                <c:pt idx="615">
                  <c:v>14098</c:v>
                </c:pt>
                <c:pt idx="616">
                  <c:v>13811</c:v>
                </c:pt>
                <c:pt idx="617">
                  <c:v>13533</c:v>
                </c:pt>
                <c:pt idx="618">
                  <c:v>13241</c:v>
                </c:pt>
                <c:pt idx="619">
                  <c:v>12969</c:v>
                </c:pt>
                <c:pt idx="620">
                  <c:v>12710</c:v>
                </c:pt>
                <c:pt idx="621">
                  <c:v>12456</c:v>
                </c:pt>
                <c:pt idx="622">
                  <c:v>12204</c:v>
                </c:pt>
                <c:pt idx="623">
                  <c:v>11961</c:v>
                </c:pt>
                <c:pt idx="624">
                  <c:v>11710</c:v>
                </c:pt>
                <c:pt idx="625">
                  <c:v>11450</c:v>
                </c:pt>
                <c:pt idx="626">
                  <c:v>11217</c:v>
                </c:pt>
                <c:pt idx="627">
                  <c:v>10986</c:v>
                </c:pt>
                <c:pt idx="628">
                  <c:v>10744</c:v>
                </c:pt>
                <c:pt idx="629">
                  <c:v>10510</c:v>
                </c:pt>
                <c:pt idx="630">
                  <c:v>10292</c:v>
                </c:pt>
                <c:pt idx="631">
                  <c:v>10076</c:v>
                </c:pt>
                <c:pt idx="632">
                  <c:v>9867</c:v>
                </c:pt>
                <c:pt idx="633">
                  <c:v>9662</c:v>
                </c:pt>
                <c:pt idx="634">
                  <c:v>9460</c:v>
                </c:pt>
                <c:pt idx="635">
                  <c:v>9261</c:v>
                </c:pt>
                <c:pt idx="636">
                  <c:v>9072</c:v>
                </c:pt>
                <c:pt idx="637">
                  <c:v>8858</c:v>
                </c:pt>
                <c:pt idx="638">
                  <c:v>8658</c:v>
                </c:pt>
                <c:pt idx="639">
                  <c:v>8467</c:v>
                </c:pt>
                <c:pt idx="640">
                  <c:v>8281</c:v>
                </c:pt>
                <c:pt idx="641">
                  <c:v>8091</c:v>
                </c:pt>
                <c:pt idx="642">
                  <c:v>7915</c:v>
                </c:pt>
                <c:pt idx="643">
                  <c:v>7721</c:v>
                </c:pt>
                <c:pt idx="644">
                  <c:v>7542</c:v>
                </c:pt>
                <c:pt idx="645">
                  <c:v>7366</c:v>
                </c:pt>
                <c:pt idx="646">
                  <c:v>7198</c:v>
                </c:pt>
                <c:pt idx="647">
                  <c:v>7035</c:v>
                </c:pt>
                <c:pt idx="648">
                  <c:v>6868</c:v>
                </c:pt>
                <c:pt idx="649">
                  <c:v>6703</c:v>
                </c:pt>
                <c:pt idx="650">
                  <c:v>6537</c:v>
                </c:pt>
                <c:pt idx="651">
                  <c:v>6383</c:v>
                </c:pt>
                <c:pt idx="652">
                  <c:v>6225</c:v>
                </c:pt>
                <c:pt idx="653">
                  <c:v>6076</c:v>
                </c:pt>
                <c:pt idx="654">
                  <c:v>5918</c:v>
                </c:pt>
                <c:pt idx="655">
                  <c:v>5759</c:v>
                </c:pt>
                <c:pt idx="656">
                  <c:v>5620</c:v>
                </c:pt>
                <c:pt idx="657">
                  <c:v>5481</c:v>
                </c:pt>
                <c:pt idx="658">
                  <c:v>5338</c:v>
                </c:pt>
                <c:pt idx="659">
                  <c:v>5202</c:v>
                </c:pt>
                <c:pt idx="660">
                  <c:v>5054</c:v>
                </c:pt>
                <c:pt idx="661">
                  <c:v>4909</c:v>
                </c:pt>
                <c:pt idx="662">
                  <c:v>4779</c:v>
                </c:pt>
                <c:pt idx="663">
                  <c:v>4653</c:v>
                </c:pt>
                <c:pt idx="664">
                  <c:v>4538</c:v>
                </c:pt>
                <c:pt idx="665">
                  <c:v>4423</c:v>
                </c:pt>
                <c:pt idx="666">
                  <c:v>4310</c:v>
                </c:pt>
                <c:pt idx="667">
                  <c:v>4201</c:v>
                </c:pt>
                <c:pt idx="668">
                  <c:v>4103</c:v>
                </c:pt>
                <c:pt idx="669">
                  <c:v>4007</c:v>
                </c:pt>
                <c:pt idx="670">
                  <c:v>3910</c:v>
                </c:pt>
                <c:pt idx="671">
                  <c:v>3813</c:v>
                </c:pt>
                <c:pt idx="672">
                  <c:v>3714</c:v>
                </c:pt>
                <c:pt idx="673">
                  <c:v>3615</c:v>
                </c:pt>
                <c:pt idx="674">
                  <c:v>3505</c:v>
                </c:pt>
                <c:pt idx="675">
                  <c:v>3395</c:v>
                </c:pt>
                <c:pt idx="676">
                  <c:v>3291</c:v>
                </c:pt>
                <c:pt idx="677">
                  <c:v>3186</c:v>
                </c:pt>
                <c:pt idx="678">
                  <c:v>3084</c:v>
                </c:pt>
                <c:pt idx="679">
                  <c:v>2972</c:v>
                </c:pt>
                <c:pt idx="680">
                  <c:v>2865</c:v>
                </c:pt>
                <c:pt idx="681">
                  <c:v>2762</c:v>
                </c:pt>
                <c:pt idx="682">
                  <c:v>2659</c:v>
                </c:pt>
                <c:pt idx="683">
                  <c:v>2553</c:v>
                </c:pt>
                <c:pt idx="684">
                  <c:v>2448</c:v>
                </c:pt>
                <c:pt idx="685">
                  <c:v>2341</c:v>
                </c:pt>
                <c:pt idx="686">
                  <c:v>2226</c:v>
                </c:pt>
                <c:pt idx="687">
                  <c:v>2116</c:v>
                </c:pt>
                <c:pt idx="688">
                  <c:v>2016</c:v>
                </c:pt>
                <c:pt idx="689">
                  <c:v>1914</c:v>
                </c:pt>
                <c:pt idx="690">
                  <c:v>1814</c:v>
                </c:pt>
                <c:pt idx="691">
                  <c:v>1722</c:v>
                </c:pt>
                <c:pt idx="692">
                  <c:v>1635</c:v>
                </c:pt>
                <c:pt idx="693">
                  <c:v>1549</c:v>
                </c:pt>
                <c:pt idx="694">
                  <c:v>1461</c:v>
                </c:pt>
                <c:pt idx="695">
                  <c:v>1374</c:v>
                </c:pt>
                <c:pt idx="696">
                  <c:v>1279</c:v>
                </c:pt>
                <c:pt idx="697">
                  <c:v>1184</c:v>
                </c:pt>
                <c:pt idx="698">
                  <c:v>1077</c:v>
                </c:pt>
                <c:pt idx="699">
                  <c:v>972</c:v>
                </c:pt>
                <c:pt idx="700">
                  <c:v>874</c:v>
                </c:pt>
                <c:pt idx="701">
                  <c:v>775</c:v>
                </c:pt>
                <c:pt idx="702">
                  <c:v>668</c:v>
                </c:pt>
                <c:pt idx="703">
                  <c:v>570</c:v>
                </c:pt>
                <c:pt idx="704">
                  <c:v>473</c:v>
                </c:pt>
                <c:pt idx="705">
                  <c:v>370</c:v>
                </c:pt>
                <c:pt idx="706">
                  <c:v>270</c:v>
                </c:pt>
                <c:pt idx="707">
                  <c:v>183</c:v>
                </c:pt>
                <c:pt idx="708">
                  <c:v>94.8</c:v>
                </c:pt>
                <c:pt idx="709">
                  <c:v>30.3</c:v>
                </c:pt>
                <c:pt idx="710">
                  <c:v>25</c:v>
                </c:pt>
                <c:pt idx="711">
                  <c:v>24.3</c:v>
                </c:pt>
                <c:pt idx="712">
                  <c:v>24</c:v>
                </c:pt>
                <c:pt idx="713">
                  <c:v>24</c:v>
                </c:pt>
                <c:pt idx="714">
                  <c:v>24</c:v>
                </c:pt>
                <c:pt idx="715">
                  <c:v>3.25</c:v>
                </c:pt>
                <c:pt idx="716">
                  <c:v>-35.8</c:v>
                </c:pt>
                <c:pt idx="717">
                  <c:v>-50.1</c:v>
                </c:pt>
                <c:pt idx="718">
                  <c:v>-43.7</c:v>
                </c:pt>
                <c:pt idx="719">
                  <c:v>-37.6</c:v>
                </c:pt>
                <c:pt idx="720">
                  <c:v>-35.7</c:v>
                </c:pt>
                <c:pt idx="721">
                  <c:v>-34.1</c:v>
                </c:pt>
                <c:pt idx="722">
                  <c:v>-31.1</c:v>
                </c:pt>
                <c:pt idx="723">
                  <c:v>-28.7</c:v>
                </c:pt>
                <c:pt idx="724">
                  <c:v>-27.6</c:v>
                </c:pt>
                <c:pt idx="725">
                  <c:v>-25.8</c:v>
                </c:pt>
                <c:pt idx="726">
                  <c:v>-24</c:v>
                </c:pt>
                <c:pt idx="727">
                  <c:v>-22.5</c:v>
                </c:pt>
                <c:pt idx="728">
                  <c:v>-21.2</c:v>
                </c:pt>
                <c:pt idx="729">
                  <c:v>-20.4</c:v>
                </c:pt>
                <c:pt idx="730">
                  <c:v>-19.2</c:v>
                </c:pt>
                <c:pt idx="731">
                  <c:v>-18.6</c:v>
                </c:pt>
                <c:pt idx="732">
                  <c:v>-17.6</c:v>
                </c:pt>
                <c:pt idx="733">
                  <c:v>-16.8</c:v>
                </c:pt>
                <c:pt idx="734">
                  <c:v>-15.8</c:v>
                </c:pt>
                <c:pt idx="735">
                  <c:v>-15.6</c:v>
                </c:pt>
                <c:pt idx="736">
                  <c:v>-14.9</c:v>
                </c:pt>
                <c:pt idx="737">
                  <c:v>-14.5</c:v>
                </c:pt>
                <c:pt idx="738">
                  <c:v>-13.7</c:v>
                </c:pt>
                <c:pt idx="739">
                  <c:v>-13.5</c:v>
                </c:pt>
                <c:pt idx="740">
                  <c:v>-12.9</c:v>
                </c:pt>
                <c:pt idx="741">
                  <c:v>-12.7</c:v>
                </c:pt>
                <c:pt idx="742">
                  <c:v>-11.5</c:v>
                </c:pt>
                <c:pt idx="743">
                  <c:v>-10.8</c:v>
                </c:pt>
                <c:pt idx="744">
                  <c:v>-10.9</c:v>
                </c:pt>
                <c:pt idx="745">
                  <c:v>-10.3</c:v>
                </c:pt>
                <c:pt idx="746">
                  <c:v>-10.2</c:v>
                </c:pt>
                <c:pt idx="747">
                  <c:v>-9.6</c:v>
                </c:pt>
                <c:pt idx="748">
                  <c:v>-8.45</c:v>
                </c:pt>
                <c:pt idx="749">
                  <c:v>-8.17</c:v>
                </c:pt>
                <c:pt idx="750">
                  <c:v>-8.19</c:v>
                </c:pt>
                <c:pt idx="751">
                  <c:v>-9.29</c:v>
                </c:pt>
                <c:pt idx="752">
                  <c:v>-8.89</c:v>
                </c:pt>
                <c:pt idx="753">
                  <c:v>-9.23</c:v>
                </c:pt>
                <c:pt idx="754">
                  <c:v>-10.8</c:v>
                </c:pt>
                <c:pt idx="755">
                  <c:v>-10.5</c:v>
                </c:pt>
                <c:pt idx="756">
                  <c:v>-10.6</c:v>
                </c:pt>
                <c:pt idx="757">
                  <c:v>-10.2</c:v>
                </c:pt>
                <c:pt idx="758">
                  <c:v>-9.91</c:v>
                </c:pt>
                <c:pt idx="759">
                  <c:v>-9.78</c:v>
                </c:pt>
                <c:pt idx="760">
                  <c:v>-9.25</c:v>
                </c:pt>
                <c:pt idx="761">
                  <c:v>-9.05</c:v>
                </c:pt>
                <c:pt idx="762">
                  <c:v>-9.11</c:v>
                </c:pt>
                <c:pt idx="763">
                  <c:v>-8.73</c:v>
                </c:pt>
                <c:pt idx="764">
                  <c:v>-8.5</c:v>
                </c:pt>
                <c:pt idx="765">
                  <c:v>-8.45</c:v>
                </c:pt>
                <c:pt idx="766">
                  <c:v>-8.2</c:v>
                </c:pt>
                <c:pt idx="767">
                  <c:v>-8.22</c:v>
                </c:pt>
                <c:pt idx="768">
                  <c:v>-8.08</c:v>
                </c:pt>
                <c:pt idx="769">
                  <c:v>-7.93</c:v>
                </c:pt>
                <c:pt idx="770">
                  <c:v>-7.74</c:v>
                </c:pt>
                <c:pt idx="771">
                  <c:v>-7.71</c:v>
                </c:pt>
                <c:pt idx="772">
                  <c:v>-7.63</c:v>
                </c:pt>
                <c:pt idx="773">
                  <c:v>-7.45</c:v>
                </c:pt>
                <c:pt idx="774">
                  <c:v>-7.16</c:v>
                </c:pt>
                <c:pt idx="775">
                  <c:v>-7</c:v>
                </c:pt>
                <c:pt idx="776">
                  <c:v>-6.73</c:v>
                </c:pt>
                <c:pt idx="777">
                  <c:v>-6.89</c:v>
                </c:pt>
                <c:pt idx="778">
                  <c:v>-6.81</c:v>
                </c:pt>
                <c:pt idx="779">
                  <c:v>-6.77</c:v>
                </c:pt>
                <c:pt idx="780">
                  <c:v>-6.45</c:v>
                </c:pt>
                <c:pt idx="781">
                  <c:v>-6.58</c:v>
                </c:pt>
                <c:pt idx="782">
                  <c:v>-6.47</c:v>
                </c:pt>
                <c:pt idx="783">
                  <c:v>-6.23</c:v>
                </c:pt>
                <c:pt idx="784">
                  <c:v>-6.2</c:v>
                </c:pt>
                <c:pt idx="785">
                  <c:v>-6.04</c:v>
                </c:pt>
                <c:pt idx="786">
                  <c:v>-6.05</c:v>
                </c:pt>
                <c:pt idx="787">
                  <c:v>-5.92</c:v>
                </c:pt>
                <c:pt idx="788">
                  <c:v>-5.79</c:v>
                </c:pt>
                <c:pt idx="789">
                  <c:v>-5.65</c:v>
                </c:pt>
                <c:pt idx="790">
                  <c:v>-5.46</c:v>
                </c:pt>
                <c:pt idx="791">
                  <c:v>-5.39</c:v>
                </c:pt>
                <c:pt idx="792">
                  <c:v>-5.34</c:v>
                </c:pt>
                <c:pt idx="793">
                  <c:v>-5.18</c:v>
                </c:pt>
                <c:pt idx="794">
                  <c:v>-5.17</c:v>
                </c:pt>
                <c:pt idx="795">
                  <c:v>-5.03</c:v>
                </c:pt>
                <c:pt idx="796">
                  <c:v>-5.04</c:v>
                </c:pt>
                <c:pt idx="797">
                  <c:v>-4.93</c:v>
                </c:pt>
                <c:pt idx="798">
                  <c:v>-4.94</c:v>
                </c:pt>
                <c:pt idx="799">
                  <c:v>-4.56</c:v>
                </c:pt>
                <c:pt idx="800">
                  <c:v>-4.78</c:v>
                </c:pt>
                <c:pt idx="801">
                  <c:v>-4.59</c:v>
                </c:pt>
                <c:pt idx="802">
                  <c:v>-4.51</c:v>
                </c:pt>
                <c:pt idx="803">
                  <c:v>-4.6</c:v>
                </c:pt>
                <c:pt idx="804">
                  <c:v>-4.53</c:v>
                </c:pt>
                <c:pt idx="805">
                  <c:v>-4.18</c:v>
                </c:pt>
                <c:pt idx="806">
                  <c:v>-4.15</c:v>
                </c:pt>
                <c:pt idx="807">
                  <c:v>-3.82</c:v>
                </c:pt>
                <c:pt idx="808">
                  <c:v>-3.8</c:v>
                </c:pt>
                <c:pt idx="809">
                  <c:v>-3.56</c:v>
                </c:pt>
                <c:pt idx="810">
                  <c:v>-3.25</c:v>
                </c:pt>
                <c:pt idx="811">
                  <c:v>-3.3</c:v>
                </c:pt>
                <c:pt idx="812">
                  <c:v>-3.29</c:v>
                </c:pt>
                <c:pt idx="813">
                  <c:v>-3.25</c:v>
                </c:pt>
                <c:pt idx="814">
                  <c:v>-3.23</c:v>
                </c:pt>
                <c:pt idx="815">
                  <c:v>-3.39</c:v>
                </c:pt>
                <c:pt idx="816">
                  <c:v>-3.47</c:v>
                </c:pt>
                <c:pt idx="817">
                  <c:v>-3.5</c:v>
                </c:pt>
                <c:pt idx="818">
                  <c:v>-3.47</c:v>
                </c:pt>
                <c:pt idx="819">
                  <c:v>-3.58</c:v>
                </c:pt>
                <c:pt idx="820">
                  <c:v>-3.61</c:v>
                </c:pt>
                <c:pt idx="821">
                  <c:v>-3.53</c:v>
                </c:pt>
                <c:pt idx="822">
                  <c:v>-3.49</c:v>
                </c:pt>
                <c:pt idx="823">
                  <c:v>-3.53</c:v>
                </c:pt>
                <c:pt idx="824">
                  <c:v>-3.61</c:v>
                </c:pt>
                <c:pt idx="825">
                  <c:v>-3.58</c:v>
                </c:pt>
                <c:pt idx="826">
                  <c:v>-3.6</c:v>
                </c:pt>
                <c:pt idx="827">
                  <c:v>-3.73</c:v>
                </c:pt>
                <c:pt idx="828">
                  <c:v>-3.76</c:v>
                </c:pt>
                <c:pt idx="829">
                  <c:v>-3.66</c:v>
                </c:pt>
                <c:pt idx="830">
                  <c:v>-3.55</c:v>
                </c:pt>
                <c:pt idx="831">
                  <c:v>-3.56</c:v>
                </c:pt>
                <c:pt idx="832">
                  <c:v>-3.5</c:v>
                </c:pt>
                <c:pt idx="833">
                  <c:v>-3.34</c:v>
                </c:pt>
                <c:pt idx="834">
                  <c:v>-3.16</c:v>
                </c:pt>
                <c:pt idx="835">
                  <c:v>-2.95</c:v>
                </c:pt>
                <c:pt idx="836">
                  <c:v>-2.85</c:v>
                </c:pt>
                <c:pt idx="837">
                  <c:v>-2.99</c:v>
                </c:pt>
                <c:pt idx="838">
                  <c:v>-3.1</c:v>
                </c:pt>
                <c:pt idx="839">
                  <c:v>-3.29</c:v>
                </c:pt>
                <c:pt idx="840">
                  <c:v>-3.44</c:v>
                </c:pt>
                <c:pt idx="841">
                  <c:v>-3.47</c:v>
                </c:pt>
                <c:pt idx="842">
                  <c:v>-3.44</c:v>
                </c:pt>
                <c:pt idx="843">
                  <c:v>-3.42</c:v>
                </c:pt>
                <c:pt idx="844">
                  <c:v>-3.49</c:v>
                </c:pt>
                <c:pt idx="845">
                  <c:v>-3.59</c:v>
                </c:pt>
                <c:pt idx="846">
                  <c:v>-3.48</c:v>
                </c:pt>
                <c:pt idx="847">
                  <c:v>-3.27</c:v>
                </c:pt>
                <c:pt idx="848">
                  <c:v>-3.27</c:v>
                </c:pt>
                <c:pt idx="849">
                  <c:v>-3.08</c:v>
                </c:pt>
                <c:pt idx="850">
                  <c:v>-3.07</c:v>
                </c:pt>
                <c:pt idx="851">
                  <c:v>-3.2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11.7</c:v>
                </c:pt>
                <c:pt idx="859">
                  <c:v>-128.88</c:v>
                </c:pt>
                <c:pt idx="860">
                  <c:v>-180.36</c:v>
                </c:pt>
                <c:pt idx="861">
                  <c:v>-157.32</c:v>
                </c:pt>
                <c:pt idx="862">
                  <c:v>-135.36</c:v>
                </c:pt>
                <c:pt idx="863">
                  <c:v>-128.52</c:v>
                </c:pt>
                <c:pt idx="864">
                  <c:v>-122.76</c:v>
                </c:pt>
                <c:pt idx="865">
                  <c:v>-111.96</c:v>
                </c:pt>
                <c:pt idx="866">
                  <c:v>-103.32</c:v>
                </c:pt>
                <c:pt idx="867">
                  <c:v>-99.36</c:v>
                </c:pt>
                <c:pt idx="868">
                  <c:v>-92.88</c:v>
                </c:pt>
                <c:pt idx="869">
                  <c:v>-86.4</c:v>
                </c:pt>
                <c:pt idx="870">
                  <c:v>-81</c:v>
                </c:pt>
                <c:pt idx="871">
                  <c:v>-76.32</c:v>
                </c:pt>
                <c:pt idx="872">
                  <c:v>-73.44</c:v>
                </c:pt>
                <c:pt idx="873">
                  <c:v>-69.12</c:v>
                </c:pt>
                <c:pt idx="874">
                  <c:v>-66.96</c:v>
                </c:pt>
                <c:pt idx="875">
                  <c:v>-63.36</c:v>
                </c:pt>
                <c:pt idx="876">
                  <c:v>-60.48</c:v>
                </c:pt>
                <c:pt idx="877">
                  <c:v>-56.88</c:v>
                </c:pt>
                <c:pt idx="878">
                  <c:v>-56.16</c:v>
                </c:pt>
                <c:pt idx="879">
                  <c:v>-53.64</c:v>
                </c:pt>
                <c:pt idx="880">
                  <c:v>-52.2</c:v>
                </c:pt>
                <c:pt idx="881">
                  <c:v>-49.32</c:v>
                </c:pt>
                <c:pt idx="882">
                  <c:v>-48.6</c:v>
                </c:pt>
                <c:pt idx="883">
                  <c:v>-46.44</c:v>
                </c:pt>
                <c:pt idx="884">
                  <c:v>-45.72</c:v>
                </c:pt>
                <c:pt idx="885">
                  <c:v>-41.4</c:v>
                </c:pt>
                <c:pt idx="886">
                  <c:v>-38.88</c:v>
                </c:pt>
                <c:pt idx="887">
                  <c:v>-39.24</c:v>
                </c:pt>
                <c:pt idx="888">
                  <c:v>-37.08</c:v>
                </c:pt>
                <c:pt idx="889">
                  <c:v>-36.72</c:v>
                </c:pt>
                <c:pt idx="890">
                  <c:v>-34.56</c:v>
                </c:pt>
                <c:pt idx="891">
                  <c:v>-30.42</c:v>
                </c:pt>
                <c:pt idx="892">
                  <c:v>-29.412</c:v>
                </c:pt>
                <c:pt idx="893">
                  <c:v>-29.484</c:v>
                </c:pt>
                <c:pt idx="894">
                  <c:v>-33.444</c:v>
                </c:pt>
                <c:pt idx="895">
                  <c:v>-32.004</c:v>
                </c:pt>
                <c:pt idx="896">
                  <c:v>-33.228</c:v>
                </c:pt>
                <c:pt idx="897">
                  <c:v>-38.88</c:v>
                </c:pt>
                <c:pt idx="898">
                  <c:v>-37.8</c:v>
                </c:pt>
                <c:pt idx="899">
                  <c:v>-38.16</c:v>
                </c:pt>
                <c:pt idx="900">
                  <c:v>-36.72</c:v>
                </c:pt>
                <c:pt idx="901">
                  <c:v>-35.676</c:v>
                </c:pt>
                <c:pt idx="902">
                  <c:v>-35.208</c:v>
                </c:pt>
                <c:pt idx="903">
                  <c:v>-33.3</c:v>
                </c:pt>
                <c:pt idx="904">
                  <c:v>-32.58</c:v>
                </c:pt>
                <c:pt idx="905">
                  <c:v>-32.796</c:v>
                </c:pt>
                <c:pt idx="906">
                  <c:v>-31.428</c:v>
                </c:pt>
                <c:pt idx="907">
                  <c:v>-30.6</c:v>
                </c:pt>
                <c:pt idx="908">
                  <c:v>-30.42</c:v>
                </c:pt>
                <c:pt idx="909">
                  <c:v>-29.52</c:v>
                </c:pt>
                <c:pt idx="910">
                  <c:v>-29.592</c:v>
                </c:pt>
                <c:pt idx="911">
                  <c:v>-29.088</c:v>
                </c:pt>
                <c:pt idx="912">
                  <c:v>-28.548</c:v>
                </c:pt>
                <c:pt idx="913">
                  <c:v>-27.864</c:v>
                </c:pt>
                <c:pt idx="914">
                  <c:v>-27.756</c:v>
                </c:pt>
                <c:pt idx="915">
                  <c:v>-27.468</c:v>
                </c:pt>
                <c:pt idx="916">
                  <c:v>-26.82</c:v>
                </c:pt>
                <c:pt idx="917">
                  <c:v>-25.776</c:v>
                </c:pt>
                <c:pt idx="918">
                  <c:v>-25.2</c:v>
                </c:pt>
                <c:pt idx="919">
                  <c:v>-24.228</c:v>
                </c:pt>
                <c:pt idx="920">
                  <c:v>-24.804</c:v>
                </c:pt>
                <c:pt idx="921">
                  <c:v>-24.516</c:v>
                </c:pt>
                <c:pt idx="922">
                  <c:v>-24.372</c:v>
                </c:pt>
                <c:pt idx="923">
                  <c:v>-23.22</c:v>
                </c:pt>
                <c:pt idx="924">
                  <c:v>-23.688</c:v>
                </c:pt>
                <c:pt idx="925">
                  <c:v>-23.292</c:v>
                </c:pt>
                <c:pt idx="926">
                  <c:v>-22.428</c:v>
                </c:pt>
                <c:pt idx="927">
                  <c:v>-22.32</c:v>
                </c:pt>
                <c:pt idx="928">
                  <c:v>-21.744</c:v>
                </c:pt>
                <c:pt idx="929">
                  <c:v>-21.78</c:v>
                </c:pt>
                <c:pt idx="930">
                  <c:v>-21.312</c:v>
                </c:pt>
                <c:pt idx="931">
                  <c:v>-20.844</c:v>
                </c:pt>
                <c:pt idx="932">
                  <c:v>-20.34</c:v>
                </c:pt>
                <c:pt idx="933">
                  <c:v>-19.656</c:v>
                </c:pt>
                <c:pt idx="934">
                  <c:v>-19.404</c:v>
                </c:pt>
                <c:pt idx="935">
                  <c:v>-19.224</c:v>
                </c:pt>
                <c:pt idx="936">
                  <c:v>-18.648</c:v>
                </c:pt>
                <c:pt idx="937">
                  <c:v>-18.612</c:v>
                </c:pt>
                <c:pt idx="938">
                  <c:v>-18.108</c:v>
                </c:pt>
                <c:pt idx="939">
                  <c:v>-18.144</c:v>
                </c:pt>
                <c:pt idx="940">
                  <c:v>-17.748</c:v>
                </c:pt>
                <c:pt idx="941">
                  <c:v>-17.784</c:v>
                </c:pt>
                <c:pt idx="942">
                  <c:v>-16.416</c:v>
                </c:pt>
                <c:pt idx="943">
                  <c:v>-17.208</c:v>
                </c:pt>
                <c:pt idx="944">
                  <c:v>-16.524</c:v>
                </c:pt>
                <c:pt idx="945">
                  <c:v>-16.236</c:v>
                </c:pt>
                <c:pt idx="946">
                  <c:v>-16.56</c:v>
                </c:pt>
                <c:pt idx="947">
                  <c:v>-16.308</c:v>
                </c:pt>
                <c:pt idx="948">
                  <c:v>-15.048</c:v>
                </c:pt>
                <c:pt idx="949">
                  <c:v>-14.94</c:v>
                </c:pt>
                <c:pt idx="950">
                  <c:v>-13.752</c:v>
                </c:pt>
                <c:pt idx="951">
                  <c:v>-13.68</c:v>
                </c:pt>
                <c:pt idx="952">
                  <c:v>-12.816</c:v>
                </c:pt>
                <c:pt idx="953">
                  <c:v>-11.7</c:v>
                </c:pt>
                <c:pt idx="954">
                  <c:v>-11.88</c:v>
                </c:pt>
                <c:pt idx="955">
                  <c:v>-11.844</c:v>
                </c:pt>
                <c:pt idx="956">
                  <c:v>-11.7</c:v>
                </c:pt>
                <c:pt idx="957">
                  <c:v>-11.628</c:v>
                </c:pt>
                <c:pt idx="958">
                  <c:v>-12.204</c:v>
                </c:pt>
                <c:pt idx="959">
                  <c:v>-12.492</c:v>
                </c:pt>
                <c:pt idx="960">
                  <c:v>-12.6</c:v>
                </c:pt>
                <c:pt idx="961">
                  <c:v>-12.492</c:v>
                </c:pt>
                <c:pt idx="962">
                  <c:v>-12.888</c:v>
                </c:pt>
                <c:pt idx="963">
                  <c:v>-12.996</c:v>
                </c:pt>
                <c:pt idx="964">
                  <c:v>-12.708</c:v>
                </c:pt>
                <c:pt idx="965">
                  <c:v>-12.564</c:v>
                </c:pt>
                <c:pt idx="966">
                  <c:v>-12.708</c:v>
                </c:pt>
                <c:pt idx="967">
                  <c:v>-12.996</c:v>
                </c:pt>
                <c:pt idx="968">
                  <c:v>-12.888</c:v>
                </c:pt>
                <c:pt idx="969">
                  <c:v>-12.96</c:v>
                </c:pt>
                <c:pt idx="970">
                  <c:v>-13.428</c:v>
                </c:pt>
                <c:pt idx="971">
                  <c:v>-13.536</c:v>
                </c:pt>
                <c:pt idx="972">
                  <c:v>-13.176</c:v>
                </c:pt>
                <c:pt idx="973">
                  <c:v>-12.78</c:v>
                </c:pt>
                <c:pt idx="974">
                  <c:v>-12.816</c:v>
                </c:pt>
                <c:pt idx="975">
                  <c:v>-12.6</c:v>
                </c:pt>
                <c:pt idx="976">
                  <c:v>-12.024</c:v>
                </c:pt>
                <c:pt idx="977">
                  <c:v>-11.376</c:v>
                </c:pt>
                <c:pt idx="978">
                  <c:v>-10.62</c:v>
                </c:pt>
                <c:pt idx="979">
                  <c:v>-10.26</c:v>
                </c:pt>
                <c:pt idx="980">
                  <c:v>-10.764</c:v>
                </c:pt>
                <c:pt idx="981">
                  <c:v>-11.16</c:v>
                </c:pt>
                <c:pt idx="982">
                  <c:v>-11.844</c:v>
                </c:pt>
                <c:pt idx="983">
                  <c:v>-12.384</c:v>
                </c:pt>
                <c:pt idx="984">
                  <c:v>-12.492</c:v>
                </c:pt>
                <c:pt idx="985">
                  <c:v>-12.384</c:v>
                </c:pt>
                <c:pt idx="986">
                  <c:v>-12.312</c:v>
                </c:pt>
                <c:pt idx="987">
                  <c:v>-12.564</c:v>
                </c:pt>
                <c:pt idx="988">
                  <c:v>-12.924</c:v>
                </c:pt>
                <c:pt idx="989">
                  <c:v>-12.528</c:v>
                </c:pt>
                <c:pt idx="990">
                  <c:v>-11.772</c:v>
                </c:pt>
                <c:pt idx="991">
                  <c:v>-11.772</c:v>
                </c:pt>
                <c:pt idx="992">
                  <c:v>-11.088</c:v>
                </c:pt>
                <c:pt idx="993">
                  <c:v>-11.052</c:v>
                </c:pt>
                <c:pt idx="994">
                  <c:v>-11.52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46159.9399460167</c:v>
                </c:pt>
                <c:pt idx="1144">
                  <c:v>29056.2306368596</c:v>
                </c:pt>
                <c:pt idx="1287">
                  <c:v>41694.9971024367</c:v>
                </c:pt>
              </c:numCache>
            </c:numRef>
          </c:yVal>
          <c:smooth val="0"/>
        </c:ser>
        <c:axId val="2978734"/>
        <c:axId val="9753421"/>
      </c:scatterChart>
      <c:valAx>
        <c:axId val="2978734"/>
        <c:scaling>
          <c:orientation val="maxMin"/>
          <c:max val="40000"/>
          <c:min val="0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minorGridlines>
          <c:spPr>
            <a:ln w="0">
              <a:solidFill>
                <a:srgbClr val="DDDDDD"/>
              </a:solidFill>
            </a:ln>
          </c:spPr>
        </c:min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Altitude (m)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9753421"/>
        <c:crossesAt val="-50"/>
        <c:crossBetween val="midCat"/>
      </c:valAx>
      <c:valAx>
        <c:axId val="9753421"/>
        <c:scaling>
          <c:orientation val="minMax"/>
          <c:max val="20"/>
          <c:min val="-5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minorGridlines>
          <c:spPr>
            <a:ln w="0">
              <a:solidFill>
                <a:srgbClr val="DDDDDD"/>
              </a:solidFill>
            </a:ln>
          </c:spPr>
        </c:min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Température °C)</a:t>
                </a:r>
              </a:p>
            </c:rich>
          </c:tx>
          <c:layout>
            <c:manualLayout>
              <c:xMode val="edge"/>
              <c:yMode val="edge"/>
              <c:x val="0.0114306784660767"/>
              <c:y val="0.45359921113180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2978734"/>
        <c:crossesAt val="40000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376011882658745"/>
          <c:y val="0.168753792684945"/>
          <c:w val="0.283512810991459"/>
          <c:h val="0.139239808021184"/>
        </c:manualLayout>
      </c:layout>
      <c:overlay val="0"/>
      <c:spPr>
        <a:solidFill>
          <a:srgbClr val="D9D9D9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Altitude and speed vs flight time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IRM balloon flight 27/9/2026</a:t>
            </a:r>
          </a:p>
        </c:rich>
      </c:tx>
      <c:layout>
        <c:manualLayout>
          <c:xMode val="edge"/>
          <c:yMode val="edge"/>
          <c:x val="0.372552732230091"/>
          <c:y val="0.009726146489893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825538682924982"/>
          <c:y val="0.0928602477722234"/>
          <c:w val="0.834324232211156"/>
          <c:h val="0.760323842642904"/>
        </c:manualLayout>
      </c:layout>
      <c:scatterChart>
        <c:scatterStyle val="line"/>
        <c:varyColors val="0"/>
        <c:ser>
          <c:idx val="0"/>
          <c:order val="0"/>
          <c:tx>
            <c:strRef>
              <c:f>"altitude (&gt;0 = up)"</c:f>
              <c:strCache>
                <c:ptCount val="1"/>
                <c:pt idx="0">
                  <c:v>altitude (&gt;0 = up)</c:v>
                </c:pt>
              </c:strCache>
            </c:strRef>
          </c:tx>
          <c:spPr>
            <a:solidFill>
              <a:srgbClr val="FF420E"/>
            </a:solidFill>
            <a:ln w="144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44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'Flight data'!$A$2:$A$443</c:f>
              <c:numCache>
                <c:formatCode>hh:mm:ss</c:formatCode>
                <c:ptCount val="442"/>
                <c:pt idx="0">
                  <c:v>0.592361111111111</c:v>
                </c:pt>
                <c:pt idx="1">
                  <c:v>0.592708333333333</c:v>
                </c:pt>
                <c:pt idx="2">
                  <c:v>0.593055555555556</c:v>
                </c:pt>
                <c:pt idx="3">
                  <c:v>0.593402777777778</c:v>
                </c:pt>
                <c:pt idx="4">
                  <c:v>0.59375</c:v>
                </c:pt>
                <c:pt idx="5">
                  <c:v>0.594097222222222</c:v>
                </c:pt>
                <c:pt idx="6">
                  <c:v>0.594444444444444</c:v>
                </c:pt>
                <c:pt idx="7">
                  <c:v>0.594791666666667</c:v>
                </c:pt>
                <c:pt idx="8">
                  <c:v>0.595138888888889</c:v>
                </c:pt>
                <c:pt idx="9">
                  <c:v>0.595486111111111</c:v>
                </c:pt>
                <c:pt idx="10">
                  <c:v>0.595833333333333</c:v>
                </c:pt>
                <c:pt idx="11">
                  <c:v>0.596180555555556</c:v>
                </c:pt>
                <c:pt idx="12">
                  <c:v>0.596527777777778</c:v>
                </c:pt>
                <c:pt idx="13">
                  <c:v>0.596875</c:v>
                </c:pt>
                <c:pt idx="14">
                  <c:v>0.597222222222222</c:v>
                </c:pt>
                <c:pt idx="15">
                  <c:v>0.597569444444445</c:v>
                </c:pt>
                <c:pt idx="16">
                  <c:v>0.597916666666667</c:v>
                </c:pt>
                <c:pt idx="17">
                  <c:v>0.598263888888889</c:v>
                </c:pt>
                <c:pt idx="18">
                  <c:v>0.598611111111111</c:v>
                </c:pt>
                <c:pt idx="19">
                  <c:v>0.598958333333333</c:v>
                </c:pt>
                <c:pt idx="20">
                  <c:v>0.599305555555556</c:v>
                </c:pt>
                <c:pt idx="21">
                  <c:v>0.599652777777778</c:v>
                </c:pt>
                <c:pt idx="22">
                  <c:v>0.6</c:v>
                </c:pt>
                <c:pt idx="23">
                  <c:v>0.600347222222222</c:v>
                </c:pt>
                <c:pt idx="24">
                  <c:v>0.600694444444444</c:v>
                </c:pt>
                <c:pt idx="25">
                  <c:v>0.601041666666667</c:v>
                </c:pt>
                <c:pt idx="26">
                  <c:v>0.601388888888889</c:v>
                </c:pt>
                <c:pt idx="27">
                  <c:v>0.601736111111111</c:v>
                </c:pt>
                <c:pt idx="28">
                  <c:v>0.602083333333333</c:v>
                </c:pt>
                <c:pt idx="29">
                  <c:v>0.602430555555556</c:v>
                </c:pt>
                <c:pt idx="30">
                  <c:v>0.602777777777778</c:v>
                </c:pt>
                <c:pt idx="31">
                  <c:v>0.603125</c:v>
                </c:pt>
                <c:pt idx="32">
                  <c:v>0.603472222222222</c:v>
                </c:pt>
                <c:pt idx="33">
                  <c:v>0.603819444444445</c:v>
                </c:pt>
                <c:pt idx="34">
                  <c:v>0.604166666666667</c:v>
                </c:pt>
                <c:pt idx="35">
                  <c:v>0.604513888888889</c:v>
                </c:pt>
                <c:pt idx="36">
                  <c:v>0.604861111111111</c:v>
                </c:pt>
                <c:pt idx="37">
                  <c:v>0.605208333333333</c:v>
                </c:pt>
                <c:pt idx="38">
                  <c:v>0.605555555555556</c:v>
                </c:pt>
                <c:pt idx="39">
                  <c:v>0.605902777777778</c:v>
                </c:pt>
                <c:pt idx="40">
                  <c:v>0.60625</c:v>
                </c:pt>
                <c:pt idx="41">
                  <c:v>0.606597222222222</c:v>
                </c:pt>
                <c:pt idx="42">
                  <c:v>0.606944444444444</c:v>
                </c:pt>
                <c:pt idx="43">
                  <c:v>0.607291666666667</c:v>
                </c:pt>
                <c:pt idx="44">
                  <c:v>0.607638888888889</c:v>
                </c:pt>
                <c:pt idx="45">
                  <c:v>0.607986111111111</c:v>
                </c:pt>
                <c:pt idx="46">
                  <c:v>0.608333333333333</c:v>
                </c:pt>
                <c:pt idx="47">
                  <c:v>0.608680555555556</c:v>
                </c:pt>
                <c:pt idx="48">
                  <c:v>0.609027777777778</c:v>
                </c:pt>
                <c:pt idx="49">
                  <c:v>0.609375</c:v>
                </c:pt>
                <c:pt idx="50">
                  <c:v>0.609722222222222</c:v>
                </c:pt>
                <c:pt idx="51">
                  <c:v>0.610069444444444</c:v>
                </c:pt>
                <c:pt idx="52">
                  <c:v>0.610416666666667</c:v>
                </c:pt>
                <c:pt idx="53">
                  <c:v>0.610763888888889</c:v>
                </c:pt>
                <c:pt idx="54">
                  <c:v>0.611111111111111</c:v>
                </c:pt>
                <c:pt idx="55">
                  <c:v>0.611458333333333</c:v>
                </c:pt>
                <c:pt idx="56">
                  <c:v>0.611805555555556</c:v>
                </c:pt>
                <c:pt idx="57">
                  <c:v>0.612152777777778</c:v>
                </c:pt>
                <c:pt idx="58">
                  <c:v>0.6125</c:v>
                </c:pt>
                <c:pt idx="59">
                  <c:v>0.612847222222222</c:v>
                </c:pt>
                <c:pt idx="60">
                  <c:v>0.613194444444445</c:v>
                </c:pt>
                <c:pt idx="61">
                  <c:v>0.613541666666667</c:v>
                </c:pt>
                <c:pt idx="62">
                  <c:v>0.613888888888889</c:v>
                </c:pt>
                <c:pt idx="63">
                  <c:v>0.614236111111111</c:v>
                </c:pt>
                <c:pt idx="64">
                  <c:v>0.614583333333333</c:v>
                </c:pt>
                <c:pt idx="65">
                  <c:v>0.614930555555556</c:v>
                </c:pt>
                <c:pt idx="66">
                  <c:v>0.615277777777778</c:v>
                </c:pt>
                <c:pt idx="67">
                  <c:v>0.615625</c:v>
                </c:pt>
                <c:pt idx="68">
                  <c:v>0.615972222222222</c:v>
                </c:pt>
                <c:pt idx="69">
                  <c:v>0.616319444444444</c:v>
                </c:pt>
                <c:pt idx="70">
                  <c:v>0.616666666666667</c:v>
                </c:pt>
                <c:pt idx="71">
                  <c:v>0.617013888888889</c:v>
                </c:pt>
                <c:pt idx="72">
                  <c:v>0.617361111111111</c:v>
                </c:pt>
                <c:pt idx="73">
                  <c:v>0.617708333333333</c:v>
                </c:pt>
                <c:pt idx="74">
                  <c:v>0.618055555555556</c:v>
                </c:pt>
                <c:pt idx="75">
                  <c:v>0.618402777777778</c:v>
                </c:pt>
                <c:pt idx="76">
                  <c:v>0.61875</c:v>
                </c:pt>
                <c:pt idx="77">
                  <c:v>0.619097222222222</c:v>
                </c:pt>
                <c:pt idx="78">
                  <c:v>0.619444444444445</c:v>
                </c:pt>
                <c:pt idx="79">
                  <c:v>0.619791666666667</c:v>
                </c:pt>
                <c:pt idx="80">
                  <c:v>0.620138888888889</c:v>
                </c:pt>
                <c:pt idx="81">
                  <c:v>0.620486111111111</c:v>
                </c:pt>
                <c:pt idx="82">
                  <c:v>0.620833333333333</c:v>
                </c:pt>
                <c:pt idx="83">
                  <c:v>0.621180555555556</c:v>
                </c:pt>
                <c:pt idx="84">
                  <c:v>0.621527777777778</c:v>
                </c:pt>
                <c:pt idx="85">
                  <c:v>0.621875</c:v>
                </c:pt>
                <c:pt idx="86">
                  <c:v>0.622222222222222</c:v>
                </c:pt>
                <c:pt idx="87">
                  <c:v>0.622569444444444</c:v>
                </c:pt>
                <c:pt idx="88">
                  <c:v>0.622916666666667</c:v>
                </c:pt>
                <c:pt idx="89">
                  <c:v>0.623263888888889</c:v>
                </c:pt>
                <c:pt idx="90">
                  <c:v>0.623611111111111</c:v>
                </c:pt>
                <c:pt idx="91">
                  <c:v>0.623958333333333</c:v>
                </c:pt>
                <c:pt idx="92">
                  <c:v>0.624305555555556</c:v>
                </c:pt>
                <c:pt idx="93">
                  <c:v>0.624652777777778</c:v>
                </c:pt>
                <c:pt idx="94">
                  <c:v>0.625</c:v>
                </c:pt>
                <c:pt idx="95">
                  <c:v>0.625347222222222</c:v>
                </c:pt>
                <c:pt idx="96">
                  <c:v>0.625694444444444</c:v>
                </c:pt>
                <c:pt idx="97">
                  <c:v>0.626041666666667</c:v>
                </c:pt>
                <c:pt idx="98">
                  <c:v>0.626388888888889</c:v>
                </c:pt>
                <c:pt idx="99">
                  <c:v>0.626736111111111</c:v>
                </c:pt>
                <c:pt idx="100">
                  <c:v>0.627083333333333</c:v>
                </c:pt>
                <c:pt idx="101">
                  <c:v>0.627430555555556</c:v>
                </c:pt>
                <c:pt idx="102">
                  <c:v>0.627777777777778</c:v>
                </c:pt>
                <c:pt idx="103">
                  <c:v>0.628125</c:v>
                </c:pt>
                <c:pt idx="104">
                  <c:v>0.628472222222222</c:v>
                </c:pt>
                <c:pt idx="105">
                  <c:v>0.628819444444445</c:v>
                </c:pt>
                <c:pt idx="106">
                  <c:v>0.629166666666667</c:v>
                </c:pt>
                <c:pt idx="107">
                  <c:v>0.629513888888889</c:v>
                </c:pt>
                <c:pt idx="108">
                  <c:v>0.629861111111111</c:v>
                </c:pt>
                <c:pt idx="109">
                  <c:v>0.630208333333333</c:v>
                </c:pt>
                <c:pt idx="110">
                  <c:v>0.630555555555556</c:v>
                </c:pt>
                <c:pt idx="111">
                  <c:v>0.630902777777778</c:v>
                </c:pt>
                <c:pt idx="112">
                  <c:v>0.63125</c:v>
                </c:pt>
                <c:pt idx="113">
                  <c:v>0.631597222222222</c:v>
                </c:pt>
                <c:pt idx="114">
                  <c:v>0.631944444444444</c:v>
                </c:pt>
                <c:pt idx="115">
                  <c:v>0.632291666666667</c:v>
                </c:pt>
                <c:pt idx="116">
                  <c:v>0.632638888888889</c:v>
                </c:pt>
                <c:pt idx="117">
                  <c:v>0.632986111111111</c:v>
                </c:pt>
                <c:pt idx="118">
                  <c:v>0.633333333333333</c:v>
                </c:pt>
                <c:pt idx="119">
                  <c:v>0.633680555555556</c:v>
                </c:pt>
                <c:pt idx="120">
                  <c:v>0.634027777777778</c:v>
                </c:pt>
                <c:pt idx="121">
                  <c:v>0.634375</c:v>
                </c:pt>
                <c:pt idx="122">
                  <c:v>0.634722222222222</c:v>
                </c:pt>
                <c:pt idx="123">
                  <c:v>0.635069444444445</c:v>
                </c:pt>
                <c:pt idx="124">
                  <c:v>0.635416666666667</c:v>
                </c:pt>
                <c:pt idx="125">
                  <c:v>0.635763888888889</c:v>
                </c:pt>
                <c:pt idx="126">
                  <c:v>0.636111111111111</c:v>
                </c:pt>
                <c:pt idx="127">
                  <c:v>0.636458333333333</c:v>
                </c:pt>
                <c:pt idx="128">
                  <c:v>0.636805555555556</c:v>
                </c:pt>
                <c:pt idx="129">
                  <c:v>0.637152777777778</c:v>
                </c:pt>
                <c:pt idx="130">
                  <c:v>0.6375</c:v>
                </c:pt>
                <c:pt idx="131">
                  <c:v>0.637847222222222</c:v>
                </c:pt>
                <c:pt idx="132">
                  <c:v>0.638194444444444</c:v>
                </c:pt>
                <c:pt idx="133">
                  <c:v>0.638541666666667</c:v>
                </c:pt>
                <c:pt idx="134">
                  <c:v>0.638888888888889</c:v>
                </c:pt>
                <c:pt idx="135">
                  <c:v>0.639236111111111</c:v>
                </c:pt>
                <c:pt idx="136">
                  <c:v>0.639583333333333</c:v>
                </c:pt>
                <c:pt idx="137">
                  <c:v>0.639930555555556</c:v>
                </c:pt>
                <c:pt idx="138">
                  <c:v>0.640277777777778</c:v>
                </c:pt>
                <c:pt idx="139">
                  <c:v>0.640625</c:v>
                </c:pt>
                <c:pt idx="140">
                  <c:v>0.640972222222222</c:v>
                </c:pt>
                <c:pt idx="141">
                  <c:v>0.641319444444444</c:v>
                </c:pt>
                <c:pt idx="142">
                  <c:v>0.641666666666667</c:v>
                </c:pt>
                <c:pt idx="143">
                  <c:v>0.642013888888889</c:v>
                </c:pt>
                <c:pt idx="144">
                  <c:v>0.642361111111111</c:v>
                </c:pt>
                <c:pt idx="145">
                  <c:v>0.642708333333333</c:v>
                </c:pt>
                <c:pt idx="146">
                  <c:v>0.643055555555556</c:v>
                </c:pt>
                <c:pt idx="147">
                  <c:v>0.643402777777778</c:v>
                </c:pt>
                <c:pt idx="148">
                  <c:v>0.64375</c:v>
                </c:pt>
                <c:pt idx="149">
                  <c:v>0.644097222222222</c:v>
                </c:pt>
                <c:pt idx="150">
                  <c:v>0.644444444444445</c:v>
                </c:pt>
                <c:pt idx="151">
                  <c:v>0.644791666666667</c:v>
                </c:pt>
                <c:pt idx="152">
                  <c:v>0.645138888888889</c:v>
                </c:pt>
                <c:pt idx="153">
                  <c:v>0.645486111111111</c:v>
                </c:pt>
                <c:pt idx="154">
                  <c:v>0.645833333333333</c:v>
                </c:pt>
                <c:pt idx="155">
                  <c:v>0.646180555555556</c:v>
                </c:pt>
                <c:pt idx="156">
                  <c:v>0.646527777777778</c:v>
                </c:pt>
                <c:pt idx="157">
                  <c:v>0.646875</c:v>
                </c:pt>
                <c:pt idx="158">
                  <c:v>0.647222222222222</c:v>
                </c:pt>
                <c:pt idx="159">
                  <c:v>0.647569444444444</c:v>
                </c:pt>
                <c:pt idx="160">
                  <c:v>0.647916666666667</c:v>
                </c:pt>
                <c:pt idx="161">
                  <c:v>0.648263888888889</c:v>
                </c:pt>
                <c:pt idx="162">
                  <c:v>0.648611111111111</c:v>
                </c:pt>
                <c:pt idx="163">
                  <c:v>0.648958333333333</c:v>
                </c:pt>
                <c:pt idx="164">
                  <c:v>0.649305555555556</c:v>
                </c:pt>
                <c:pt idx="165">
                  <c:v>0.649652777777778</c:v>
                </c:pt>
                <c:pt idx="166">
                  <c:v>0.65</c:v>
                </c:pt>
                <c:pt idx="167">
                  <c:v>0.650347222222222</c:v>
                </c:pt>
                <c:pt idx="168">
                  <c:v>0.650694444444445</c:v>
                </c:pt>
                <c:pt idx="169">
                  <c:v>0.651041666666667</c:v>
                </c:pt>
                <c:pt idx="170">
                  <c:v>0.651388888888889</c:v>
                </c:pt>
                <c:pt idx="171">
                  <c:v>0.651736111111111</c:v>
                </c:pt>
                <c:pt idx="172">
                  <c:v>0.652083333333333</c:v>
                </c:pt>
                <c:pt idx="173">
                  <c:v>0.652430555555556</c:v>
                </c:pt>
                <c:pt idx="174">
                  <c:v>0.652777777777778</c:v>
                </c:pt>
                <c:pt idx="175">
                  <c:v>0.653125</c:v>
                </c:pt>
                <c:pt idx="176">
                  <c:v>0.653472222222222</c:v>
                </c:pt>
                <c:pt idx="177">
                  <c:v>0.653819444444444</c:v>
                </c:pt>
                <c:pt idx="178">
                  <c:v>0.654166666666667</c:v>
                </c:pt>
                <c:pt idx="179">
                  <c:v>0.654513888888889</c:v>
                </c:pt>
                <c:pt idx="180">
                  <c:v>0.654861111111111</c:v>
                </c:pt>
                <c:pt idx="181">
                  <c:v>0.655208333333333</c:v>
                </c:pt>
                <c:pt idx="182">
                  <c:v>0.655555555555556</c:v>
                </c:pt>
                <c:pt idx="183">
                  <c:v>0.655902777777778</c:v>
                </c:pt>
                <c:pt idx="184">
                  <c:v>0.65625</c:v>
                </c:pt>
                <c:pt idx="185">
                  <c:v>0.656597222222222</c:v>
                </c:pt>
                <c:pt idx="186">
                  <c:v>0.656944444444444</c:v>
                </c:pt>
                <c:pt idx="187">
                  <c:v>0.657291666666667</c:v>
                </c:pt>
                <c:pt idx="188">
                  <c:v>0.657638888888889</c:v>
                </c:pt>
                <c:pt idx="189">
                  <c:v>0.657986111111111</c:v>
                </c:pt>
                <c:pt idx="190">
                  <c:v>0.658333333333333</c:v>
                </c:pt>
                <c:pt idx="191">
                  <c:v>0.658680555555556</c:v>
                </c:pt>
                <c:pt idx="192">
                  <c:v>0.659027777777778</c:v>
                </c:pt>
                <c:pt idx="193">
                  <c:v>0.659375</c:v>
                </c:pt>
                <c:pt idx="194">
                  <c:v>0.659722222222222</c:v>
                </c:pt>
                <c:pt idx="195">
                  <c:v>0.660069444444445</c:v>
                </c:pt>
                <c:pt idx="196">
                  <c:v>0.660416666666667</c:v>
                </c:pt>
                <c:pt idx="197">
                  <c:v>0.660763888888889</c:v>
                </c:pt>
                <c:pt idx="198">
                  <c:v>0.661111111111111</c:v>
                </c:pt>
                <c:pt idx="199">
                  <c:v>0.661458333333333</c:v>
                </c:pt>
                <c:pt idx="200">
                  <c:v>0.661805555555556</c:v>
                </c:pt>
                <c:pt idx="201">
                  <c:v>0.662152777777778</c:v>
                </c:pt>
                <c:pt idx="202">
                  <c:v>0.6625</c:v>
                </c:pt>
                <c:pt idx="203">
                  <c:v>0.662847222222222</c:v>
                </c:pt>
                <c:pt idx="204">
                  <c:v>0.663194444444444</c:v>
                </c:pt>
                <c:pt idx="205">
                  <c:v>0.663541666666667</c:v>
                </c:pt>
                <c:pt idx="206">
                  <c:v>0.663888888888889</c:v>
                </c:pt>
                <c:pt idx="207">
                  <c:v>0.664236111111111</c:v>
                </c:pt>
                <c:pt idx="208">
                  <c:v>0.664583333333333</c:v>
                </c:pt>
                <c:pt idx="209">
                  <c:v>0.664930555555556</c:v>
                </c:pt>
                <c:pt idx="210">
                  <c:v>0.665277777777778</c:v>
                </c:pt>
                <c:pt idx="211">
                  <c:v>0.665625</c:v>
                </c:pt>
                <c:pt idx="212">
                  <c:v>0.665972222222222</c:v>
                </c:pt>
                <c:pt idx="213">
                  <c:v>0.666319444444445</c:v>
                </c:pt>
                <c:pt idx="214">
                  <c:v>0.666666666666667</c:v>
                </c:pt>
                <c:pt idx="215">
                  <c:v>0.667013888888889</c:v>
                </c:pt>
                <c:pt idx="216">
                  <c:v>0.667361111111111</c:v>
                </c:pt>
                <c:pt idx="217">
                  <c:v>0.667708333333333</c:v>
                </c:pt>
                <c:pt idx="218">
                  <c:v>0.668055555555556</c:v>
                </c:pt>
                <c:pt idx="219">
                  <c:v>0.668402777777778</c:v>
                </c:pt>
                <c:pt idx="220">
                  <c:v>0.66875</c:v>
                </c:pt>
                <c:pt idx="221">
                  <c:v>0.669097222222222</c:v>
                </c:pt>
                <c:pt idx="222">
                  <c:v>0.669444444444445</c:v>
                </c:pt>
                <c:pt idx="223">
                  <c:v>0.669791666666667</c:v>
                </c:pt>
                <c:pt idx="224">
                  <c:v>0.670138888888889</c:v>
                </c:pt>
                <c:pt idx="225">
                  <c:v>0.670486111111111</c:v>
                </c:pt>
                <c:pt idx="226">
                  <c:v>0.670833333333333</c:v>
                </c:pt>
                <c:pt idx="227">
                  <c:v>0.671180555555556</c:v>
                </c:pt>
                <c:pt idx="228">
                  <c:v>0.671527777777778</c:v>
                </c:pt>
                <c:pt idx="229">
                  <c:v>0.671875</c:v>
                </c:pt>
                <c:pt idx="230">
                  <c:v>0.672222222222222</c:v>
                </c:pt>
                <c:pt idx="231">
                  <c:v>0.672569444444444</c:v>
                </c:pt>
                <c:pt idx="232">
                  <c:v>0.672916666666667</c:v>
                </c:pt>
                <c:pt idx="233">
                  <c:v>0.673263888888889</c:v>
                </c:pt>
                <c:pt idx="234">
                  <c:v>0.673611111111111</c:v>
                </c:pt>
                <c:pt idx="235">
                  <c:v>0.673958333333333</c:v>
                </c:pt>
                <c:pt idx="236">
                  <c:v>0.674305555555556</c:v>
                </c:pt>
                <c:pt idx="237">
                  <c:v>0.674652777777778</c:v>
                </c:pt>
                <c:pt idx="238">
                  <c:v>0.675</c:v>
                </c:pt>
                <c:pt idx="239">
                  <c:v>0.675347222222222</c:v>
                </c:pt>
                <c:pt idx="240">
                  <c:v>0.675694444444445</c:v>
                </c:pt>
                <c:pt idx="241">
                  <c:v>0.676041666666667</c:v>
                </c:pt>
                <c:pt idx="242">
                  <c:v>0.676388888888889</c:v>
                </c:pt>
                <c:pt idx="243">
                  <c:v>0.676736111111111</c:v>
                </c:pt>
                <c:pt idx="244">
                  <c:v>0.677083333333333</c:v>
                </c:pt>
                <c:pt idx="245">
                  <c:v>0.677430555555556</c:v>
                </c:pt>
                <c:pt idx="246">
                  <c:v>0.677777777777778</c:v>
                </c:pt>
                <c:pt idx="247">
                  <c:v>0.678125</c:v>
                </c:pt>
                <c:pt idx="248">
                  <c:v>0.678472222222222</c:v>
                </c:pt>
                <c:pt idx="249">
                  <c:v>0.678819444444444</c:v>
                </c:pt>
                <c:pt idx="250">
                  <c:v>0.679166666666667</c:v>
                </c:pt>
                <c:pt idx="251">
                  <c:v>0.679513888888889</c:v>
                </c:pt>
                <c:pt idx="252">
                  <c:v>0.679861111111111</c:v>
                </c:pt>
                <c:pt idx="253">
                  <c:v>0.680208333333333</c:v>
                </c:pt>
                <c:pt idx="254">
                  <c:v>0.680555555555556</c:v>
                </c:pt>
                <c:pt idx="255">
                  <c:v>0.680902777777778</c:v>
                </c:pt>
                <c:pt idx="256">
                  <c:v>0.68125</c:v>
                </c:pt>
                <c:pt idx="257">
                  <c:v>0.681597222222222</c:v>
                </c:pt>
                <c:pt idx="258">
                  <c:v>0.681944444444445</c:v>
                </c:pt>
                <c:pt idx="259">
                  <c:v>0.682291666666667</c:v>
                </c:pt>
                <c:pt idx="260">
                  <c:v>0.682638888888889</c:v>
                </c:pt>
                <c:pt idx="261">
                  <c:v>0.682986111111111</c:v>
                </c:pt>
                <c:pt idx="262">
                  <c:v>0.683333333333333</c:v>
                </c:pt>
                <c:pt idx="263">
                  <c:v>0.683680555555556</c:v>
                </c:pt>
                <c:pt idx="264">
                  <c:v>0.684027777777778</c:v>
                </c:pt>
                <c:pt idx="265">
                  <c:v>0.684375</c:v>
                </c:pt>
                <c:pt idx="266">
                  <c:v>0.684722222222222</c:v>
                </c:pt>
                <c:pt idx="267">
                  <c:v>0.685069444444445</c:v>
                </c:pt>
                <c:pt idx="268">
                  <c:v>0.685416666666667</c:v>
                </c:pt>
                <c:pt idx="269">
                  <c:v>0.685763888888889</c:v>
                </c:pt>
                <c:pt idx="270">
                  <c:v>0.686111111111111</c:v>
                </c:pt>
                <c:pt idx="271">
                  <c:v>0.686458333333333</c:v>
                </c:pt>
                <c:pt idx="272">
                  <c:v>0.686805555555556</c:v>
                </c:pt>
                <c:pt idx="273">
                  <c:v>0.687152777777778</c:v>
                </c:pt>
                <c:pt idx="274">
                  <c:v>0.6875</c:v>
                </c:pt>
                <c:pt idx="275">
                  <c:v>0.687847222222222</c:v>
                </c:pt>
                <c:pt idx="276">
                  <c:v>0.688194444444444</c:v>
                </c:pt>
                <c:pt idx="277">
                  <c:v>0.688541666666667</c:v>
                </c:pt>
                <c:pt idx="278">
                  <c:v>0.688888888888889</c:v>
                </c:pt>
                <c:pt idx="279">
                  <c:v>0.689236111111111</c:v>
                </c:pt>
                <c:pt idx="280">
                  <c:v>0.689583333333333</c:v>
                </c:pt>
                <c:pt idx="281">
                  <c:v>0.689930555555556</c:v>
                </c:pt>
                <c:pt idx="282">
                  <c:v>0.690277777777778</c:v>
                </c:pt>
                <c:pt idx="283">
                  <c:v>0.690625</c:v>
                </c:pt>
                <c:pt idx="284">
                  <c:v>0.690972222222222</c:v>
                </c:pt>
                <c:pt idx="285">
                  <c:v>0.691319444444445</c:v>
                </c:pt>
                <c:pt idx="286">
                  <c:v>0.691666666666667</c:v>
                </c:pt>
                <c:pt idx="287">
                  <c:v>0.692013888888889</c:v>
                </c:pt>
                <c:pt idx="288">
                  <c:v>0.692361111111111</c:v>
                </c:pt>
                <c:pt idx="289">
                  <c:v>0.692708333333333</c:v>
                </c:pt>
                <c:pt idx="290">
                  <c:v>0.693055555555556</c:v>
                </c:pt>
                <c:pt idx="291">
                  <c:v>0.693402777777778</c:v>
                </c:pt>
                <c:pt idx="292">
                  <c:v>0.69375</c:v>
                </c:pt>
                <c:pt idx="293">
                  <c:v>0.694097222222222</c:v>
                </c:pt>
                <c:pt idx="294">
                  <c:v>0.694444444444444</c:v>
                </c:pt>
                <c:pt idx="295">
                  <c:v>0.694791666666667</c:v>
                </c:pt>
                <c:pt idx="296">
                  <c:v>0.695138888888889</c:v>
                </c:pt>
                <c:pt idx="297">
                  <c:v>0.695486111111111</c:v>
                </c:pt>
                <c:pt idx="298">
                  <c:v>0.695833333333333</c:v>
                </c:pt>
                <c:pt idx="299">
                  <c:v>0.696180555555556</c:v>
                </c:pt>
                <c:pt idx="300">
                  <c:v>0.696527777777778</c:v>
                </c:pt>
                <c:pt idx="301">
                  <c:v>0.696875</c:v>
                </c:pt>
                <c:pt idx="302">
                  <c:v>0.697222222222222</c:v>
                </c:pt>
                <c:pt idx="303">
                  <c:v>0.697569444444445</c:v>
                </c:pt>
                <c:pt idx="304">
                  <c:v>0.697916666666667</c:v>
                </c:pt>
                <c:pt idx="305">
                  <c:v>0.698263888888889</c:v>
                </c:pt>
                <c:pt idx="306">
                  <c:v>0.698611111111111</c:v>
                </c:pt>
                <c:pt idx="307">
                  <c:v>0.698958333333333</c:v>
                </c:pt>
                <c:pt idx="308">
                  <c:v>0.699305555555556</c:v>
                </c:pt>
                <c:pt idx="309">
                  <c:v>0.699652777777778</c:v>
                </c:pt>
                <c:pt idx="310">
                  <c:v>0.7</c:v>
                </c:pt>
                <c:pt idx="311">
                  <c:v>0.700347222222222</c:v>
                </c:pt>
                <c:pt idx="312">
                  <c:v>0.700694444444445</c:v>
                </c:pt>
                <c:pt idx="313">
                  <c:v>0.701041666666667</c:v>
                </c:pt>
                <c:pt idx="314">
                  <c:v>0.701388888888889</c:v>
                </c:pt>
                <c:pt idx="315">
                  <c:v>0.701736111111111</c:v>
                </c:pt>
                <c:pt idx="316">
                  <c:v>0.702083333333333</c:v>
                </c:pt>
                <c:pt idx="317">
                  <c:v>0.702430555555556</c:v>
                </c:pt>
                <c:pt idx="318">
                  <c:v>0.702777777777778</c:v>
                </c:pt>
                <c:pt idx="319">
                  <c:v>0.703125</c:v>
                </c:pt>
                <c:pt idx="320">
                  <c:v>0.703472222222222</c:v>
                </c:pt>
                <c:pt idx="321">
                  <c:v>0.703819444444444</c:v>
                </c:pt>
                <c:pt idx="322">
                  <c:v>0.704166666666667</c:v>
                </c:pt>
                <c:pt idx="323">
                  <c:v>0.704513888888889</c:v>
                </c:pt>
                <c:pt idx="324">
                  <c:v>0.704861111111111</c:v>
                </c:pt>
                <c:pt idx="325">
                  <c:v>0.705208333333333</c:v>
                </c:pt>
                <c:pt idx="326">
                  <c:v>0.705555555555556</c:v>
                </c:pt>
                <c:pt idx="327">
                  <c:v>0.705902777777778</c:v>
                </c:pt>
                <c:pt idx="328">
                  <c:v>0.70625</c:v>
                </c:pt>
                <c:pt idx="329">
                  <c:v>0.706597222222222</c:v>
                </c:pt>
                <c:pt idx="330">
                  <c:v>0.706944444444445</c:v>
                </c:pt>
                <c:pt idx="331">
                  <c:v>0.707291666666667</c:v>
                </c:pt>
                <c:pt idx="332">
                  <c:v>0.707638888888889</c:v>
                </c:pt>
                <c:pt idx="333">
                  <c:v>0.707986111111111</c:v>
                </c:pt>
                <c:pt idx="334">
                  <c:v>0.708333333333333</c:v>
                </c:pt>
                <c:pt idx="335">
                  <c:v>0.708680555555556</c:v>
                </c:pt>
                <c:pt idx="336">
                  <c:v>0.709027777777778</c:v>
                </c:pt>
                <c:pt idx="337">
                  <c:v>0.709375</c:v>
                </c:pt>
                <c:pt idx="338">
                  <c:v>0.709722222222222</c:v>
                </c:pt>
                <c:pt idx="339">
                  <c:v>0.710069444444444</c:v>
                </c:pt>
                <c:pt idx="340">
                  <c:v>0.710416666666667</c:v>
                </c:pt>
                <c:pt idx="341">
                  <c:v>0.710763888888889</c:v>
                </c:pt>
                <c:pt idx="342">
                  <c:v>0.711111111111111</c:v>
                </c:pt>
                <c:pt idx="343">
                  <c:v>0.711458333333333</c:v>
                </c:pt>
                <c:pt idx="344">
                  <c:v>0.711805555555556</c:v>
                </c:pt>
                <c:pt idx="345">
                  <c:v>0.712152777777778</c:v>
                </c:pt>
                <c:pt idx="346">
                  <c:v>0.7125</c:v>
                </c:pt>
                <c:pt idx="347">
                  <c:v>0.712847222222222</c:v>
                </c:pt>
                <c:pt idx="348">
                  <c:v>0.713194444444445</c:v>
                </c:pt>
                <c:pt idx="349">
                  <c:v>0.713541666666667</c:v>
                </c:pt>
                <c:pt idx="350">
                  <c:v>0.713888888888889</c:v>
                </c:pt>
                <c:pt idx="351">
                  <c:v>0.714236111111111</c:v>
                </c:pt>
                <c:pt idx="352">
                  <c:v>0.714583333333333</c:v>
                </c:pt>
                <c:pt idx="353">
                  <c:v>0.714930555555556</c:v>
                </c:pt>
                <c:pt idx="354">
                  <c:v>0.715277777777778</c:v>
                </c:pt>
                <c:pt idx="355">
                  <c:v>0.715625</c:v>
                </c:pt>
                <c:pt idx="356">
                  <c:v>0.715972222222222</c:v>
                </c:pt>
                <c:pt idx="357">
                  <c:v>0.716319444444445</c:v>
                </c:pt>
                <c:pt idx="358">
                  <c:v>0.716666666666667</c:v>
                </c:pt>
                <c:pt idx="359">
                  <c:v>0.717013888888889</c:v>
                </c:pt>
                <c:pt idx="360">
                  <c:v>0.717361111111111</c:v>
                </c:pt>
                <c:pt idx="361">
                  <c:v>0.717708333333333</c:v>
                </c:pt>
                <c:pt idx="362">
                  <c:v>0.718055555555556</c:v>
                </c:pt>
                <c:pt idx="363">
                  <c:v>0.718402777777778</c:v>
                </c:pt>
                <c:pt idx="364">
                  <c:v>0.71875</c:v>
                </c:pt>
                <c:pt idx="365">
                  <c:v>0.719097222222222</c:v>
                </c:pt>
                <c:pt idx="366">
                  <c:v>0.719444444444444</c:v>
                </c:pt>
                <c:pt idx="367">
                  <c:v>0.719791666666667</c:v>
                </c:pt>
                <c:pt idx="368">
                  <c:v>0.720138888888889</c:v>
                </c:pt>
                <c:pt idx="369">
                  <c:v>0.720486111111111</c:v>
                </c:pt>
                <c:pt idx="370">
                  <c:v>0.720833333333333</c:v>
                </c:pt>
                <c:pt idx="371">
                  <c:v>0.721180555555556</c:v>
                </c:pt>
                <c:pt idx="372">
                  <c:v>0.721527777777778</c:v>
                </c:pt>
                <c:pt idx="373">
                  <c:v>0.721875</c:v>
                </c:pt>
                <c:pt idx="374">
                  <c:v>0.722222222222222</c:v>
                </c:pt>
                <c:pt idx="375">
                  <c:v>0.722569444444445</c:v>
                </c:pt>
                <c:pt idx="376">
                  <c:v>0.722916666666667</c:v>
                </c:pt>
                <c:pt idx="377">
                  <c:v>0.723263888888889</c:v>
                </c:pt>
                <c:pt idx="378">
                  <c:v>0.723611111111111</c:v>
                </c:pt>
                <c:pt idx="379">
                  <c:v>0.723958333333333</c:v>
                </c:pt>
                <c:pt idx="380">
                  <c:v>0.724305555555556</c:v>
                </c:pt>
                <c:pt idx="381">
                  <c:v>0.724652777777778</c:v>
                </c:pt>
                <c:pt idx="382">
                  <c:v>0.725</c:v>
                </c:pt>
                <c:pt idx="383">
                  <c:v>0.725347222222222</c:v>
                </c:pt>
                <c:pt idx="384">
                  <c:v>0.725694444444444</c:v>
                </c:pt>
                <c:pt idx="385">
                  <c:v>0.726041666666667</c:v>
                </c:pt>
                <c:pt idx="386">
                  <c:v>0.726388888888889</c:v>
                </c:pt>
                <c:pt idx="387">
                  <c:v>0.726736111111111</c:v>
                </c:pt>
                <c:pt idx="388">
                  <c:v>0.727083333333333</c:v>
                </c:pt>
                <c:pt idx="389">
                  <c:v>0.727430555555556</c:v>
                </c:pt>
                <c:pt idx="390">
                  <c:v>0.727777777777778</c:v>
                </c:pt>
                <c:pt idx="391">
                  <c:v>0.728125</c:v>
                </c:pt>
                <c:pt idx="392">
                  <c:v>0.728472222222222</c:v>
                </c:pt>
                <c:pt idx="393">
                  <c:v>0.728819444444445</c:v>
                </c:pt>
                <c:pt idx="394">
                  <c:v>0.729166666666667</c:v>
                </c:pt>
                <c:pt idx="395">
                  <c:v>0.729513888888889</c:v>
                </c:pt>
                <c:pt idx="396">
                  <c:v>0.729861111111111</c:v>
                </c:pt>
                <c:pt idx="397">
                  <c:v>0.730208333333333</c:v>
                </c:pt>
                <c:pt idx="398">
                  <c:v>0.730555555555556</c:v>
                </c:pt>
                <c:pt idx="399">
                  <c:v>0.730902777777778</c:v>
                </c:pt>
                <c:pt idx="400">
                  <c:v>0.73125</c:v>
                </c:pt>
                <c:pt idx="401">
                  <c:v>0.731597222222222</c:v>
                </c:pt>
                <c:pt idx="402">
                  <c:v>0.731944444444445</c:v>
                </c:pt>
                <c:pt idx="403">
                  <c:v>0.732291666666667</c:v>
                </c:pt>
                <c:pt idx="404">
                  <c:v>0.732638888888889</c:v>
                </c:pt>
                <c:pt idx="405">
                  <c:v>0.732986111111111</c:v>
                </c:pt>
                <c:pt idx="406">
                  <c:v>0.733333333333333</c:v>
                </c:pt>
                <c:pt idx="407">
                  <c:v>0.733680555555556</c:v>
                </c:pt>
                <c:pt idx="408">
                  <c:v>0.734027777777778</c:v>
                </c:pt>
                <c:pt idx="409">
                  <c:v>0.734375</c:v>
                </c:pt>
                <c:pt idx="410">
                  <c:v>0.734722222222222</c:v>
                </c:pt>
                <c:pt idx="411">
                  <c:v>0.735069444444444</c:v>
                </c:pt>
                <c:pt idx="412">
                  <c:v>0.735416666666667</c:v>
                </c:pt>
                <c:pt idx="413">
                  <c:v>0.735763888888889</c:v>
                </c:pt>
                <c:pt idx="414">
                  <c:v>0.736111111111111</c:v>
                </c:pt>
                <c:pt idx="415">
                  <c:v>0.736458333333333</c:v>
                </c:pt>
                <c:pt idx="416">
                  <c:v>0.736805555555556</c:v>
                </c:pt>
                <c:pt idx="417">
                  <c:v>0.737152777777778</c:v>
                </c:pt>
                <c:pt idx="418">
                  <c:v>0.7375</c:v>
                </c:pt>
                <c:pt idx="419">
                  <c:v>0.737847222222222</c:v>
                </c:pt>
                <c:pt idx="420">
                  <c:v>0.738194444444445</c:v>
                </c:pt>
                <c:pt idx="421">
                  <c:v>0.738541666666667</c:v>
                </c:pt>
                <c:pt idx="422">
                  <c:v>0.738888888888889</c:v>
                </c:pt>
                <c:pt idx="423">
                  <c:v>0.739236111111111</c:v>
                </c:pt>
                <c:pt idx="424">
                  <c:v>0.739583333333333</c:v>
                </c:pt>
                <c:pt idx="425">
                  <c:v>0.739930555555556</c:v>
                </c:pt>
                <c:pt idx="426">
                  <c:v>0.740277777777778</c:v>
                </c:pt>
                <c:pt idx="427">
                  <c:v>0.740625</c:v>
                </c:pt>
                <c:pt idx="428">
                  <c:v>0.740972222222222</c:v>
                </c:pt>
                <c:pt idx="429">
                  <c:v>0.741319444444444</c:v>
                </c:pt>
                <c:pt idx="430">
                  <c:v>0.741666666666667</c:v>
                </c:pt>
                <c:pt idx="431">
                  <c:v>0.742013888888889</c:v>
                </c:pt>
                <c:pt idx="432">
                  <c:v>0.742361111111111</c:v>
                </c:pt>
                <c:pt idx="433">
                  <c:v>0.742708333333333</c:v>
                </c:pt>
                <c:pt idx="434">
                  <c:v>0.743055555555556</c:v>
                </c:pt>
                <c:pt idx="435">
                  <c:v>0.743402777777778</c:v>
                </c:pt>
                <c:pt idx="436">
                  <c:v>0.74375</c:v>
                </c:pt>
                <c:pt idx="437">
                  <c:v>0.744097222222222</c:v>
                </c:pt>
                <c:pt idx="438">
                  <c:v>0.744444444444445</c:v>
                </c:pt>
                <c:pt idx="439">
                  <c:v>0.744791666666667</c:v>
                </c:pt>
                <c:pt idx="440">
                  <c:v>0.745138888888889</c:v>
                </c:pt>
                <c:pt idx="441">
                  <c:v>0.745486111111111</c:v>
                </c:pt>
              </c:numCache>
            </c:numRef>
          </c:xVal>
          <c:yVal>
            <c:numRef>
              <c:f>'Flight data'!$G$2:$G$443</c:f>
              <c:numCache>
                <c:formatCode>General</c:formatCode>
                <c:ptCount val="442"/>
                <c:pt idx="0">
                  <c:v>105</c:v>
                </c:pt>
                <c:pt idx="1">
                  <c:v>132</c:v>
                </c:pt>
                <c:pt idx="2">
                  <c:v>253</c:v>
                </c:pt>
                <c:pt idx="3">
                  <c:v>354</c:v>
                </c:pt>
                <c:pt idx="4">
                  <c:v>441</c:v>
                </c:pt>
                <c:pt idx="5">
                  <c:v>564</c:v>
                </c:pt>
                <c:pt idx="6">
                  <c:v>724</c:v>
                </c:pt>
                <c:pt idx="7">
                  <c:v>876</c:v>
                </c:pt>
                <c:pt idx="8">
                  <c:v>986</c:v>
                </c:pt>
                <c:pt idx="9">
                  <c:v>1093</c:v>
                </c:pt>
                <c:pt idx="10">
                  <c:v>1208</c:v>
                </c:pt>
                <c:pt idx="11">
                  <c:v>1327</c:v>
                </c:pt>
                <c:pt idx="12">
                  <c:v>1427</c:v>
                </c:pt>
                <c:pt idx="13">
                  <c:v>1531</c:v>
                </c:pt>
                <c:pt idx="14">
                  <c:v>1627</c:v>
                </c:pt>
                <c:pt idx="15">
                  <c:v>1734</c:v>
                </c:pt>
                <c:pt idx="16">
                  <c:v>1860</c:v>
                </c:pt>
                <c:pt idx="17">
                  <c:v>1986</c:v>
                </c:pt>
                <c:pt idx="18">
                  <c:v>2113</c:v>
                </c:pt>
                <c:pt idx="19">
                  <c:v>2185</c:v>
                </c:pt>
                <c:pt idx="20">
                  <c:v>2282</c:v>
                </c:pt>
                <c:pt idx="21">
                  <c:v>2398</c:v>
                </c:pt>
                <c:pt idx="22">
                  <c:v>2507</c:v>
                </c:pt>
                <c:pt idx="23">
                  <c:v>2631</c:v>
                </c:pt>
                <c:pt idx="24">
                  <c:v>2754</c:v>
                </c:pt>
                <c:pt idx="25">
                  <c:v>2894</c:v>
                </c:pt>
                <c:pt idx="26">
                  <c:v>3008</c:v>
                </c:pt>
                <c:pt idx="27">
                  <c:v>3127</c:v>
                </c:pt>
                <c:pt idx="28">
                  <c:v>3234</c:v>
                </c:pt>
                <c:pt idx="29">
                  <c:v>3356</c:v>
                </c:pt>
                <c:pt idx="30">
                  <c:v>3479</c:v>
                </c:pt>
                <c:pt idx="31">
                  <c:v>3580</c:v>
                </c:pt>
                <c:pt idx="32">
                  <c:v>3683</c:v>
                </c:pt>
                <c:pt idx="33">
                  <c:v>3780</c:v>
                </c:pt>
                <c:pt idx="34">
                  <c:v>3882</c:v>
                </c:pt>
                <c:pt idx="35">
                  <c:v>3987</c:v>
                </c:pt>
                <c:pt idx="36">
                  <c:v>4095</c:v>
                </c:pt>
                <c:pt idx="37">
                  <c:v>4198</c:v>
                </c:pt>
                <c:pt idx="38">
                  <c:v>4320</c:v>
                </c:pt>
                <c:pt idx="39">
                  <c:v>4425</c:v>
                </c:pt>
                <c:pt idx="40">
                  <c:v>4524</c:v>
                </c:pt>
                <c:pt idx="41">
                  <c:v>4623</c:v>
                </c:pt>
                <c:pt idx="42">
                  <c:v>4723</c:v>
                </c:pt>
                <c:pt idx="43">
                  <c:v>4828</c:v>
                </c:pt>
                <c:pt idx="44">
                  <c:v>4926</c:v>
                </c:pt>
                <c:pt idx="45">
                  <c:v>5029</c:v>
                </c:pt>
                <c:pt idx="46">
                  <c:v>5125</c:v>
                </c:pt>
                <c:pt idx="47">
                  <c:v>5221</c:v>
                </c:pt>
                <c:pt idx="48">
                  <c:v>5325</c:v>
                </c:pt>
                <c:pt idx="49">
                  <c:v>5431</c:v>
                </c:pt>
                <c:pt idx="50">
                  <c:v>5536</c:v>
                </c:pt>
                <c:pt idx="51">
                  <c:v>5640</c:v>
                </c:pt>
                <c:pt idx="52">
                  <c:v>5743</c:v>
                </c:pt>
                <c:pt idx="53">
                  <c:v>5845</c:v>
                </c:pt>
                <c:pt idx="54">
                  <c:v>5957</c:v>
                </c:pt>
                <c:pt idx="55">
                  <c:v>6056</c:v>
                </c:pt>
                <c:pt idx="56">
                  <c:v>6157</c:v>
                </c:pt>
                <c:pt idx="57">
                  <c:v>6256</c:v>
                </c:pt>
                <c:pt idx="58">
                  <c:v>6355</c:v>
                </c:pt>
                <c:pt idx="59">
                  <c:v>6452</c:v>
                </c:pt>
                <c:pt idx="60">
                  <c:v>6553</c:v>
                </c:pt>
                <c:pt idx="61">
                  <c:v>6658</c:v>
                </c:pt>
                <c:pt idx="62">
                  <c:v>6748</c:v>
                </c:pt>
                <c:pt idx="63">
                  <c:v>6842</c:v>
                </c:pt>
                <c:pt idx="64">
                  <c:v>6934</c:v>
                </c:pt>
                <c:pt idx="65">
                  <c:v>7031</c:v>
                </c:pt>
                <c:pt idx="66">
                  <c:v>7124</c:v>
                </c:pt>
                <c:pt idx="67">
                  <c:v>7226</c:v>
                </c:pt>
                <c:pt idx="68">
                  <c:v>7337</c:v>
                </c:pt>
                <c:pt idx="69">
                  <c:v>7441</c:v>
                </c:pt>
                <c:pt idx="70">
                  <c:v>7541</c:v>
                </c:pt>
                <c:pt idx="71">
                  <c:v>7643</c:v>
                </c:pt>
                <c:pt idx="72">
                  <c:v>7742</c:v>
                </c:pt>
                <c:pt idx="73">
                  <c:v>7841</c:v>
                </c:pt>
                <c:pt idx="74">
                  <c:v>7946</c:v>
                </c:pt>
                <c:pt idx="75">
                  <c:v>8063</c:v>
                </c:pt>
                <c:pt idx="76">
                  <c:v>8194</c:v>
                </c:pt>
                <c:pt idx="77">
                  <c:v>8311</c:v>
                </c:pt>
                <c:pt idx="78">
                  <c:v>8418</c:v>
                </c:pt>
                <c:pt idx="79">
                  <c:v>8526</c:v>
                </c:pt>
                <c:pt idx="80">
                  <c:v>8637</c:v>
                </c:pt>
                <c:pt idx="81">
                  <c:v>8741</c:v>
                </c:pt>
                <c:pt idx="82">
                  <c:v>8846</c:v>
                </c:pt>
                <c:pt idx="83">
                  <c:v>8951</c:v>
                </c:pt>
                <c:pt idx="84">
                  <c:v>9057</c:v>
                </c:pt>
                <c:pt idx="85">
                  <c:v>9174</c:v>
                </c:pt>
                <c:pt idx="86">
                  <c:v>9287</c:v>
                </c:pt>
                <c:pt idx="87">
                  <c:v>9395</c:v>
                </c:pt>
                <c:pt idx="88">
                  <c:v>9511</c:v>
                </c:pt>
                <c:pt idx="89">
                  <c:v>9626</c:v>
                </c:pt>
                <c:pt idx="90">
                  <c:v>9740</c:v>
                </c:pt>
                <c:pt idx="91">
                  <c:v>9852</c:v>
                </c:pt>
                <c:pt idx="92">
                  <c:v>9975</c:v>
                </c:pt>
                <c:pt idx="93">
                  <c:v>10109</c:v>
                </c:pt>
                <c:pt idx="94">
                  <c:v>10222</c:v>
                </c:pt>
                <c:pt idx="95">
                  <c:v>10330</c:v>
                </c:pt>
                <c:pt idx="96">
                  <c:v>10436</c:v>
                </c:pt>
                <c:pt idx="97">
                  <c:v>10539</c:v>
                </c:pt>
                <c:pt idx="98">
                  <c:v>10647</c:v>
                </c:pt>
                <c:pt idx="99">
                  <c:v>10758</c:v>
                </c:pt>
                <c:pt idx="100">
                  <c:v>10868</c:v>
                </c:pt>
                <c:pt idx="101">
                  <c:v>10982</c:v>
                </c:pt>
                <c:pt idx="102">
                  <c:v>11089</c:v>
                </c:pt>
                <c:pt idx="103">
                  <c:v>11195</c:v>
                </c:pt>
                <c:pt idx="104">
                  <c:v>11306</c:v>
                </c:pt>
                <c:pt idx="105">
                  <c:v>11411</c:v>
                </c:pt>
                <c:pt idx="106">
                  <c:v>11524</c:v>
                </c:pt>
                <c:pt idx="107">
                  <c:v>11639</c:v>
                </c:pt>
                <c:pt idx="108">
                  <c:v>11750</c:v>
                </c:pt>
                <c:pt idx="109">
                  <c:v>11861</c:v>
                </c:pt>
                <c:pt idx="110">
                  <c:v>11979</c:v>
                </c:pt>
                <c:pt idx="111">
                  <c:v>12091</c:v>
                </c:pt>
                <c:pt idx="112">
                  <c:v>12197</c:v>
                </c:pt>
                <c:pt idx="113">
                  <c:v>12309</c:v>
                </c:pt>
                <c:pt idx="114">
                  <c:v>12417</c:v>
                </c:pt>
                <c:pt idx="115">
                  <c:v>12526</c:v>
                </c:pt>
                <c:pt idx="116">
                  <c:v>12636</c:v>
                </c:pt>
                <c:pt idx="117">
                  <c:v>12747</c:v>
                </c:pt>
                <c:pt idx="118">
                  <c:v>12859</c:v>
                </c:pt>
                <c:pt idx="119">
                  <c:v>12977</c:v>
                </c:pt>
                <c:pt idx="120">
                  <c:v>13101</c:v>
                </c:pt>
                <c:pt idx="121">
                  <c:v>13242</c:v>
                </c:pt>
                <c:pt idx="122">
                  <c:v>13358</c:v>
                </c:pt>
                <c:pt idx="123">
                  <c:v>13476</c:v>
                </c:pt>
                <c:pt idx="124">
                  <c:v>13593</c:v>
                </c:pt>
                <c:pt idx="125">
                  <c:v>13703</c:v>
                </c:pt>
                <c:pt idx="126">
                  <c:v>13812</c:v>
                </c:pt>
                <c:pt idx="127">
                  <c:v>13922</c:v>
                </c:pt>
                <c:pt idx="128">
                  <c:v>14042</c:v>
                </c:pt>
                <c:pt idx="129">
                  <c:v>14163</c:v>
                </c:pt>
                <c:pt idx="130">
                  <c:v>14282</c:v>
                </c:pt>
                <c:pt idx="131">
                  <c:v>14394</c:v>
                </c:pt>
                <c:pt idx="132">
                  <c:v>14508</c:v>
                </c:pt>
                <c:pt idx="133">
                  <c:v>14618</c:v>
                </c:pt>
                <c:pt idx="134">
                  <c:v>14728</c:v>
                </c:pt>
                <c:pt idx="135">
                  <c:v>14843</c:v>
                </c:pt>
                <c:pt idx="136">
                  <c:v>14966</c:v>
                </c:pt>
                <c:pt idx="137">
                  <c:v>15090</c:v>
                </c:pt>
                <c:pt idx="138">
                  <c:v>15206</c:v>
                </c:pt>
                <c:pt idx="139">
                  <c:v>15319</c:v>
                </c:pt>
                <c:pt idx="140">
                  <c:v>15436</c:v>
                </c:pt>
                <c:pt idx="141">
                  <c:v>15543</c:v>
                </c:pt>
                <c:pt idx="142">
                  <c:v>15658</c:v>
                </c:pt>
                <c:pt idx="143">
                  <c:v>15767</c:v>
                </c:pt>
                <c:pt idx="144">
                  <c:v>15885</c:v>
                </c:pt>
                <c:pt idx="145">
                  <c:v>16004</c:v>
                </c:pt>
                <c:pt idx="146">
                  <c:v>16120</c:v>
                </c:pt>
                <c:pt idx="147">
                  <c:v>16242</c:v>
                </c:pt>
                <c:pt idx="148">
                  <c:v>16363</c:v>
                </c:pt>
                <c:pt idx="149">
                  <c:v>16487</c:v>
                </c:pt>
                <c:pt idx="150">
                  <c:v>16620</c:v>
                </c:pt>
                <c:pt idx="151">
                  <c:v>16749</c:v>
                </c:pt>
                <c:pt idx="152">
                  <c:v>16867</c:v>
                </c:pt>
                <c:pt idx="153">
                  <c:v>16984</c:v>
                </c:pt>
                <c:pt idx="154">
                  <c:v>17107</c:v>
                </c:pt>
                <c:pt idx="155">
                  <c:v>17226</c:v>
                </c:pt>
                <c:pt idx="156">
                  <c:v>17354</c:v>
                </c:pt>
                <c:pt idx="157">
                  <c:v>17487</c:v>
                </c:pt>
                <c:pt idx="158">
                  <c:v>17609</c:v>
                </c:pt>
                <c:pt idx="159">
                  <c:v>17733</c:v>
                </c:pt>
                <c:pt idx="160">
                  <c:v>17858</c:v>
                </c:pt>
                <c:pt idx="161">
                  <c:v>17988</c:v>
                </c:pt>
                <c:pt idx="162">
                  <c:v>18114</c:v>
                </c:pt>
                <c:pt idx="163">
                  <c:v>18231</c:v>
                </c:pt>
                <c:pt idx="164">
                  <c:v>18348</c:v>
                </c:pt>
                <c:pt idx="165">
                  <c:v>18473</c:v>
                </c:pt>
                <c:pt idx="166">
                  <c:v>18596</c:v>
                </c:pt>
                <c:pt idx="167">
                  <c:v>18730</c:v>
                </c:pt>
                <c:pt idx="168">
                  <c:v>18863</c:v>
                </c:pt>
                <c:pt idx="169">
                  <c:v>18989</c:v>
                </c:pt>
                <c:pt idx="170">
                  <c:v>19118</c:v>
                </c:pt>
                <c:pt idx="171">
                  <c:v>19250</c:v>
                </c:pt>
                <c:pt idx="172">
                  <c:v>19377</c:v>
                </c:pt>
                <c:pt idx="173">
                  <c:v>19512</c:v>
                </c:pt>
                <c:pt idx="174">
                  <c:v>19648</c:v>
                </c:pt>
                <c:pt idx="175">
                  <c:v>19779</c:v>
                </c:pt>
                <c:pt idx="176">
                  <c:v>19908</c:v>
                </c:pt>
                <c:pt idx="177">
                  <c:v>20039</c:v>
                </c:pt>
                <c:pt idx="178">
                  <c:v>20176</c:v>
                </c:pt>
                <c:pt idx="179">
                  <c:v>20308</c:v>
                </c:pt>
                <c:pt idx="180">
                  <c:v>20455</c:v>
                </c:pt>
                <c:pt idx="181">
                  <c:v>20596</c:v>
                </c:pt>
                <c:pt idx="182">
                  <c:v>20731</c:v>
                </c:pt>
                <c:pt idx="183">
                  <c:v>20866</c:v>
                </c:pt>
                <c:pt idx="184">
                  <c:v>20998</c:v>
                </c:pt>
                <c:pt idx="185">
                  <c:v>21129</c:v>
                </c:pt>
                <c:pt idx="186">
                  <c:v>21269</c:v>
                </c:pt>
                <c:pt idx="187">
                  <c:v>21408</c:v>
                </c:pt>
                <c:pt idx="188">
                  <c:v>21536</c:v>
                </c:pt>
                <c:pt idx="189">
                  <c:v>21665</c:v>
                </c:pt>
                <c:pt idx="190">
                  <c:v>21799</c:v>
                </c:pt>
                <c:pt idx="191">
                  <c:v>21935</c:v>
                </c:pt>
                <c:pt idx="192">
                  <c:v>22080</c:v>
                </c:pt>
                <c:pt idx="193">
                  <c:v>22211</c:v>
                </c:pt>
                <c:pt idx="194">
                  <c:v>22350</c:v>
                </c:pt>
                <c:pt idx="195">
                  <c:v>22482</c:v>
                </c:pt>
                <c:pt idx="196">
                  <c:v>22610</c:v>
                </c:pt>
                <c:pt idx="197">
                  <c:v>22746</c:v>
                </c:pt>
                <c:pt idx="198">
                  <c:v>22874</c:v>
                </c:pt>
                <c:pt idx="199">
                  <c:v>23005</c:v>
                </c:pt>
                <c:pt idx="200">
                  <c:v>23148</c:v>
                </c:pt>
                <c:pt idx="201">
                  <c:v>23297</c:v>
                </c:pt>
                <c:pt idx="202">
                  <c:v>23439</c:v>
                </c:pt>
                <c:pt idx="203">
                  <c:v>23580</c:v>
                </c:pt>
                <c:pt idx="204">
                  <c:v>23720</c:v>
                </c:pt>
                <c:pt idx="205">
                  <c:v>23855</c:v>
                </c:pt>
                <c:pt idx="206">
                  <c:v>23988</c:v>
                </c:pt>
                <c:pt idx="207">
                  <c:v>24129</c:v>
                </c:pt>
                <c:pt idx="208">
                  <c:v>24274</c:v>
                </c:pt>
                <c:pt idx="209">
                  <c:v>24407</c:v>
                </c:pt>
                <c:pt idx="210">
                  <c:v>24554</c:v>
                </c:pt>
                <c:pt idx="211">
                  <c:v>24692</c:v>
                </c:pt>
                <c:pt idx="212">
                  <c:v>24832</c:v>
                </c:pt>
                <c:pt idx="213">
                  <c:v>24975</c:v>
                </c:pt>
                <c:pt idx="214">
                  <c:v>25127</c:v>
                </c:pt>
                <c:pt idx="215">
                  <c:v>25269</c:v>
                </c:pt>
                <c:pt idx="216">
                  <c:v>25409</c:v>
                </c:pt>
                <c:pt idx="217">
                  <c:v>25553</c:v>
                </c:pt>
                <c:pt idx="218">
                  <c:v>25692</c:v>
                </c:pt>
                <c:pt idx="219">
                  <c:v>25841</c:v>
                </c:pt>
                <c:pt idx="220">
                  <c:v>26000</c:v>
                </c:pt>
                <c:pt idx="221">
                  <c:v>26144</c:v>
                </c:pt>
                <c:pt idx="222">
                  <c:v>26291</c:v>
                </c:pt>
                <c:pt idx="223">
                  <c:v>26434</c:v>
                </c:pt>
                <c:pt idx="224">
                  <c:v>26586</c:v>
                </c:pt>
                <c:pt idx="225">
                  <c:v>26733</c:v>
                </c:pt>
                <c:pt idx="226">
                  <c:v>26874</c:v>
                </c:pt>
                <c:pt idx="227">
                  <c:v>27012</c:v>
                </c:pt>
                <c:pt idx="228">
                  <c:v>27156</c:v>
                </c:pt>
                <c:pt idx="229">
                  <c:v>27295</c:v>
                </c:pt>
                <c:pt idx="230">
                  <c:v>27445</c:v>
                </c:pt>
                <c:pt idx="231">
                  <c:v>27599</c:v>
                </c:pt>
                <c:pt idx="232">
                  <c:v>27751</c:v>
                </c:pt>
                <c:pt idx="233">
                  <c:v>27901</c:v>
                </c:pt>
                <c:pt idx="234">
                  <c:v>28053</c:v>
                </c:pt>
                <c:pt idx="235">
                  <c:v>28209</c:v>
                </c:pt>
                <c:pt idx="236">
                  <c:v>28361</c:v>
                </c:pt>
                <c:pt idx="237">
                  <c:v>28512</c:v>
                </c:pt>
                <c:pt idx="238">
                  <c:v>28672</c:v>
                </c:pt>
                <c:pt idx="239">
                  <c:v>28834</c:v>
                </c:pt>
                <c:pt idx="240">
                  <c:v>28987</c:v>
                </c:pt>
                <c:pt idx="241">
                  <c:v>29143</c:v>
                </c:pt>
                <c:pt idx="242">
                  <c:v>29307</c:v>
                </c:pt>
                <c:pt idx="243">
                  <c:v>29476</c:v>
                </c:pt>
                <c:pt idx="244">
                  <c:v>29636</c:v>
                </c:pt>
                <c:pt idx="245">
                  <c:v>29793</c:v>
                </c:pt>
                <c:pt idx="246">
                  <c:v>29947</c:v>
                </c:pt>
                <c:pt idx="247">
                  <c:v>30101</c:v>
                </c:pt>
                <c:pt idx="248">
                  <c:v>30260</c:v>
                </c:pt>
                <c:pt idx="249">
                  <c:v>30411</c:v>
                </c:pt>
                <c:pt idx="250">
                  <c:v>30565</c:v>
                </c:pt>
                <c:pt idx="251">
                  <c:v>30726</c:v>
                </c:pt>
                <c:pt idx="252">
                  <c:v>30891</c:v>
                </c:pt>
                <c:pt idx="253">
                  <c:v>31044</c:v>
                </c:pt>
                <c:pt idx="254">
                  <c:v>31201</c:v>
                </c:pt>
                <c:pt idx="255">
                  <c:v>31360</c:v>
                </c:pt>
                <c:pt idx="256">
                  <c:v>31501</c:v>
                </c:pt>
                <c:pt idx="257">
                  <c:v>31643</c:v>
                </c:pt>
                <c:pt idx="258">
                  <c:v>31796</c:v>
                </c:pt>
                <c:pt idx="259">
                  <c:v>31946</c:v>
                </c:pt>
                <c:pt idx="260">
                  <c:v>32100</c:v>
                </c:pt>
                <c:pt idx="261">
                  <c:v>32260</c:v>
                </c:pt>
                <c:pt idx="262">
                  <c:v>32422</c:v>
                </c:pt>
                <c:pt idx="263">
                  <c:v>32588</c:v>
                </c:pt>
                <c:pt idx="264">
                  <c:v>32755</c:v>
                </c:pt>
                <c:pt idx="265">
                  <c:v>32906</c:v>
                </c:pt>
                <c:pt idx="266">
                  <c:v>33054</c:v>
                </c:pt>
                <c:pt idx="267">
                  <c:v>33201</c:v>
                </c:pt>
                <c:pt idx="268">
                  <c:v>33355</c:v>
                </c:pt>
                <c:pt idx="269">
                  <c:v>33509</c:v>
                </c:pt>
                <c:pt idx="270">
                  <c:v>33653</c:v>
                </c:pt>
                <c:pt idx="271">
                  <c:v>33802</c:v>
                </c:pt>
                <c:pt idx="272">
                  <c:v>33946</c:v>
                </c:pt>
                <c:pt idx="273">
                  <c:v>34093</c:v>
                </c:pt>
                <c:pt idx="274">
                  <c:v>34237</c:v>
                </c:pt>
                <c:pt idx="275">
                  <c:v>34373</c:v>
                </c:pt>
                <c:pt idx="276">
                  <c:v>34528</c:v>
                </c:pt>
                <c:pt idx="277">
                  <c:v>34676</c:v>
                </c:pt>
                <c:pt idx="278">
                  <c:v>34818</c:v>
                </c:pt>
                <c:pt idx="279">
                  <c:v>34958</c:v>
                </c:pt>
                <c:pt idx="280">
                  <c:v>35094</c:v>
                </c:pt>
                <c:pt idx="281">
                  <c:v>35233</c:v>
                </c:pt>
                <c:pt idx="282">
                  <c:v>35358</c:v>
                </c:pt>
                <c:pt idx="283">
                  <c:v>35481</c:v>
                </c:pt>
                <c:pt idx="284">
                  <c:v>35611</c:v>
                </c:pt>
                <c:pt idx="285">
                  <c:v>35742</c:v>
                </c:pt>
                <c:pt idx="286">
                  <c:v>35872</c:v>
                </c:pt>
                <c:pt idx="287">
                  <c:v>36012</c:v>
                </c:pt>
                <c:pt idx="288">
                  <c:v>36166</c:v>
                </c:pt>
                <c:pt idx="289">
                  <c:v>36314</c:v>
                </c:pt>
                <c:pt idx="290">
                  <c:v>36439</c:v>
                </c:pt>
                <c:pt idx="291">
                  <c:v>36569</c:v>
                </c:pt>
                <c:pt idx="292">
                  <c:v>36697</c:v>
                </c:pt>
                <c:pt idx="293">
                  <c:v>36827</c:v>
                </c:pt>
                <c:pt idx="294">
                  <c:v>36954</c:v>
                </c:pt>
                <c:pt idx="295">
                  <c:v>37085</c:v>
                </c:pt>
                <c:pt idx="296">
                  <c:v>37225</c:v>
                </c:pt>
                <c:pt idx="297">
                  <c:v>37348</c:v>
                </c:pt>
                <c:pt idx="298">
                  <c:v>37466</c:v>
                </c:pt>
                <c:pt idx="299">
                  <c:v>37578</c:v>
                </c:pt>
                <c:pt idx="300">
                  <c:v>37252</c:v>
                </c:pt>
                <c:pt idx="301">
                  <c:v>35766</c:v>
                </c:pt>
                <c:pt idx="302">
                  <c:v>34352</c:v>
                </c:pt>
                <c:pt idx="303">
                  <c:v>33197</c:v>
                </c:pt>
                <c:pt idx="304">
                  <c:v>32118</c:v>
                </c:pt>
                <c:pt idx="305">
                  <c:v>31073</c:v>
                </c:pt>
                <c:pt idx="306">
                  <c:v>30065</c:v>
                </c:pt>
                <c:pt idx="307">
                  <c:v>29183</c:v>
                </c:pt>
                <c:pt idx="308">
                  <c:v>28368</c:v>
                </c:pt>
                <c:pt idx="309">
                  <c:v>27583</c:v>
                </c:pt>
                <c:pt idx="310">
                  <c:v>26866</c:v>
                </c:pt>
                <c:pt idx="311">
                  <c:v>26186</c:v>
                </c:pt>
                <c:pt idx="312">
                  <c:v>25518</c:v>
                </c:pt>
                <c:pt idx="313">
                  <c:v>24870</c:v>
                </c:pt>
                <c:pt idx="314">
                  <c:v>24256</c:v>
                </c:pt>
                <c:pt idx="315">
                  <c:v>23695</c:v>
                </c:pt>
                <c:pt idx="316">
                  <c:v>23173</c:v>
                </c:pt>
                <c:pt idx="317">
                  <c:v>22662</c:v>
                </c:pt>
                <c:pt idx="318">
                  <c:v>22182</c:v>
                </c:pt>
                <c:pt idx="319">
                  <c:v>21723</c:v>
                </c:pt>
                <c:pt idx="320">
                  <c:v>21237</c:v>
                </c:pt>
                <c:pt idx="321">
                  <c:v>20779</c:v>
                </c:pt>
                <c:pt idx="322">
                  <c:v>20363</c:v>
                </c:pt>
                <c:pt idx="323">
                  <c:v>19950</c:v>
                </c:pt>
                <c:pt idx="324">
                  <c:v>19545</c:v>
                </c:pt>
                <c:pt idx="325">
                  <c:v>19150</c:v>
                </c:pt>
                <c:pt idx="326">
                  <c:v>18789</c:v>
                </c:pt>
                <c:pt idx="327">
                  <c:v>18450</c:v>
                </c:pt>
                <c:pt idx="328">
                  <c:v>18116</c:v>
                </c:pt>
                <c:pt idx="329">
                  <c:v>17813</c:v>
                </c:pt>
                <c:pt idx="330">
                  <c:v>17496</c:v>
                </c:pt>
                <c:pt idx="331">
                  <c:v>17186</c:v>
                </c:pt>
                <c:pt idx="332">
                  <c:v>16934</c:v>
                </c:pt>
                <c:pt idx="333">
                  <c:v>16684</c:v>
                </c:pt>
                <c:pt idx="334">
                  <c:v>16453</c:v>
                </c:pt>
                <c:pt idx="335">
                  <c:v>16195</c:v>
                </c:pt>
                <c:pt idx="336">
                  <c:v>15933</c:v>
                </c:pt>
                <c:pt idx="337">
                  <c:v>15657</c:v>
                </c:pt>
                <c:pt idx="338">
                  <c:v>15366</c:v>
                </c:pt>
                <c:pt idx="339">
                  <c:v>15031</c:v>
                </c:pt>
                <c:pt idx="340">
                  <c:v>14709</c:v>
                </c:pt>
                <c:pt idx="341">
                  <c:v>14402</c:v>
                </c:pt>
                <c:pt idx="342">
                  <c:v>14098</c:v>
                </c:pt>
                <c:pt idx="343">
                  <c:v>13811</c:v>
                </c:pt>
                <c:pt idx="344">
                  <c:v>13533</c:v>
                </c:pt>
                <c:pt idx="345">
                  <c:v>13241</c:v>
                </c:pt>
                <c:pt idx="346">
                  <c:v>12969</c:v>
                </c:pt>
                <c:pt idx="347">
                  <c:v>12710</c:v>
                </c:pt>
                <c:pt idx="348">
                  <c:v>12456</c:v>
                </c:pt>
                <c:pt idx="349">
                  <c:v>12204</c:v>
                </c:pt>
                <c:pt idx="350">
                  <c:v>11961</c:v>
                </c:pt>
                <c:pt idx="351">
                  <c:v>11710</c:v>
                </c:pt>
                <c:pt idx="352">
                  <c:v>11450</c:v>
                </c:pt>
                <c:pt idx="353">
                  <c:v>11217</c:v>
                </c:pt>
                <c:pt idx="354">
                  <c:v>10986</c:v>
                </c:pt>
                <c:pt idx="355">
                  <c:v>10744</c:v>
                </c:pt>
                <c:pt idx="356">
                  <c:v>10510</c:v>
                </c:pt>
                <c:pt idx="357">
                  <c:v>10292</c:v>
                </c:pt>
                <c:pt idx="358">
                  <c:v>10076</c:v>
                </c:pt>
                <c:pt idx="359">
                  <c:v>9867</c:v>
                </c:pt>
                <c:pt idx="360">
                  <c:v>9662</c:v>
                </c:pt>
                <c:pt idx="361">
                  <c:v>9460</c:v>
                </c:pt>
                <c:pt idx="362">
                  <c:v>9261</c:v>
                </c:pt>
                <c:pt idx="363">
                  <c:v>9072</c:v>
                </c:pt>
                <c:pt idx="364">
                  <c:v>8858</c:v>
                </c:pt>
                <c:pt idx="365">
                  <c:v>8658</c:v>
                </c:pt>
                <c:pt idx="366">
                  <c:v>8467</c:v>
                </c:pt>
                <c:pt idx="367">
                  <c:v>8281</c:v>
                </c:pt>
                <c:pt idx="368">
                  <c:v>8091</c:v>
                </c:pt>
                <c:pt idx="369">
                  <c:v>7915</c:v>
                </c:pt>
                <c:pt idx="370">
                  <c:v>7721</c:v>
                </c:pt>
                <c:pt idx="371">
                  <c:v>7542</c:v>
                </c:pt>
                <c:pt idx="372">
                  <c:v>7366</c:v>
                </c:pt>
                <c:pt idx="373">
                  <c:v>7198</c:v>
                </c:pt>
                <c:pt idx="374">
                  <c:v>7035</c:v>
                </c:pt>
                <c:pt idx="375">
                  <c:v>6868</c:v>
                </c:pt>
                <c:pt idx="376">
                  <c:v>6703</c:v>
                </c:pt>
                <c:pt idx="377">
                  <c:v>6537</c:v>
                </c:pt>
                <c:pt idx="378">
                  <c:v>6383</c:v>
                </c:pt>
                <c:pt idx="379">
                  <c:v>6225</c:v>
                </c:pt>
                <c:pt idx="380">
                  <c:v>6076</c:v>
                </c:pt>
                <c:pt idx="381">
                  <c:v>5918</c:v>
                </c:pt>
                <c:pt idx="382">
                  <c:v>5759</c:v>
                </c:pt>
                <c:pt idx="383">
                  <c:v>5620</c:v>
                </c:pt>
                <c:pt idx="384">
                  <c:v>5481</c:v>
                </c:pt>
                <c:pt idx="385">
                  <c:v>5338</c:v>
                </c:pt>
                <c:pt idx="386">
                  <c:v>5202</c:v>
                </c:pt>
                <c:pt idx="387">
                  <c:v>5054</c:v>
                </c:pt>
                <c:pt idx="388">
                  <c:v>4909</c:v>
                </c:pt>
                <c:pt idx="389">
                  <c:v>4779</c:v>
                </c:pt>
                <c:pt idx="390">
                  <c:v>4653</c:v>
                </c:pt>
                <c:pt idx="391">
                  <c:v>4538</c:v>
                </c:pt>
                <c:pt idx="392">
                  <c:v>4423</c:v>
                </c:pt>
                <c:pt idx="393">
                  <c:v>4310</c:v>
                </c:pt>
                <c:pt idx="394">
                  <c:v>4201</c:v>
                </c:pt>
                <c:pt idx="395">
                  <c:v>4103</c:v>
                </c:pt>
                <c:pt idx="396">
                  <c:v>4007</c:v>
                </c:pt>
                <c:pt idx="397">
                  <c:v>3910</c:v>
                </c:pt>
                <c:pt idx="398">
                  <c:v>3813</c:v>
                </c:pt>
                <c:pt idx="399">
                  <c:v>3714</c:v>
                </c:pt>
                <c:pt idx="400">
                  <c:v>3615</c:v>
                </c:pt>
                <c:pt idx="401">
                  <c:v>3505</c:v>
                </c:pt>
                <c:pt idx="402">
                  <c:v>3395</c:v>
                </c:pt>
                <c:pt idx="403">
                  <c:v>3291</c:v>
                </c:pt>
                <c:pt idx="404">
                  <c:v>3186</c:v>
                </c:pt>
                <c:pt idx="405">
                  <c:v>3084</c:v>
                </c:pt>
                <c:pt idx="406">
                  <c:v>2972</c:v>
                </c:pt>
                <c:pt idx="407">
                  <c:v>2865</c:v>
                </c:pt>
                <c:pt idx="408">
                  <c:v>2762</c:v>
                </c:pt>
                <c:pt idx="409">
                  <c:v>2659</c:v>
                </c:pt>
                <c:pt idx="410">
                  <c:v>2553</c:v>
                </c:pt>
                <c:pt idx="411">
                  <c:v>2448</c:v>
                </c:pt>
                <c:pt idx="412">
                  <c:v>2341</c:v>
                </c:pt>
                <c:pt idx="413">
                  <c:v>2226</c:v>
                </c:pt>
                <c:pt idx="414">
                  <c:v>2116</c:v>
                </c:pt>
                <c:pt idx="415">
                  <c:v>2016</c:v>
                </c:pt>
                <c:pt idx="416">
                  <c:v>1914</c:v>
                </c:pt>
                <c:pt idx="417">
                  <c:v>1814</c:v>
                </c:pt>
                <c:pt idx="418">
                  <c:v>1722</c:v>
                </c:pt>
                <c:pt idx="419">
                  <c:v>1635</c:v>
                </c:pt>
                <c:pt idx="420">
                  <c:v>1549</c:v>
                </c:pt>
                <c:pt idx="421">
                  <c:v>1461</c:v>
                </c:pt>
                <c:pt idx="422">
                  <c:v>1374</c:v>
                </c:pt>
                <c:pt idx="423">
                  <c:v>1279</c:v>
                </c:pt>
                <c:pt idx="424">
                  <c:v>1184</c:v>
                </c:pt>
                <c:pt idx="425">
                  <c:v>1077</c:v>
                </c:pt>
                <c:pt idx="426">
                  <c:v>972</c:v>
                </c:pt>
                <c:pt idx="427">
                  <c:v>874</c:v>
                </c:pt>
                <c:pt idx="428">
                  <c:v>775</c:v>
                </c:pt>
                <c:pt idx="429">
                  <c:v>668</c:v>
                </c:pt>
                <c:pt idx="430">
                  <c:v>570</c:v>
                </c:pt>
                <c:pt idx="431">
                  <c:v>473</c:v>
                </c:pt>
                <c:pt idx="432">
                  <c:v>370</c:v>
                </c:pt>
                <c:pt idx="433">
                  <c:v>270</c:v>
                </c:pt>
                <c:pt idx="434">
                  <c:v>183</c:v>
                </c:pt>
                <c:pt idx="435">
                  <c:v>94.8</c:v>
                </c:pt>
                <c:pt idx="436">
                  <c:v>30.3</c:v>
                </c:pt>
                <c:pt idx="437">
                  <c:v>25</c:v>
                </c:pt>
                <c:pt idx="438">
                  <c:v>24.3</c:v>
                </c:pt>
                <c:pt idx="439">
                  <c:v>24</c:v>
                </c:pt>
                <c:pt idx="440">
                  <c:v>24</c:v>
                </c:pt>
                <c:pt idx="441">
                  <c:v>24</c:v>
                </c:pt>
              </c:numCache>
            </c:numRef>
          </c:yVal>
          <c:smooth val="0"/>
        </c:ser>
        <c:axId val="13127286"/>
        <c:axId val="16605485"/>
      </c:scatterChart>
      <c:scatterChart>
        <c:scatterStyle val="line"/>
        <c:varyColors val="0"/>
        <c:ser>
          <c:idx val="1"/>
          <c:order val="1"/>
          <c:tx>
            <c:strRef>
              <c:f>"speed"</c:f>
              <c:strCache>
                <c:ptCount val="1"/>
                <c:pt idx="0">
                  <c:v>speed</c:v>
                </c:pt>
              </c:strCache>
            </c:strRef>
          </c:tx>
          <c:spPr>
            <a:solidFill>
              <a:srgbClr val="004586"/>
            </a:solidFill>
            <a:ln w="144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44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'Flight data'!$A$2:$A$443</c:f>
              <c:numCache>
                <c:formatCode>hh:mm:ss</c:formatCode>
                <c:ptCount val="442"/>
                <c:pt idx="0">
                  <c:v>0.592361111111111</c:v>
                </c:pt>
                <c:pt idx="1">
                  <c:v>0.592708333333333</c:v>
                </c:pt>
                <c:pt idx="2">
                  <c:v>0.593055555555556</c:v>
                </c:pt>
                <c:pt idx="3">
                  <c:v>0.593402777777778</c:v>
                </c:pt>
                <c:pt idx="4">
                  <c:v>0.59375</c:v>
                </c:pt>
                <c:pt idx="5">
                  <c:v>0.594097222222222</c:v>
                </c:pt>
                <c:pt idx="6">
                  <c:v>0.594444444444444</c:v>
                </c:pt>
                <c:pt idx="7">
                  <c:v>0.594791666666667</c:v>
                </c:pt>
                <c:pt idx="8">
                  <c:v>0.595138888888889</c:v>
                </c:pt>
                <c:pt idx="9">
                  <c:v>0.595486111111111</c:v>
                </c:pt>
                <c:pt idx="10">
                  <c:v>0.595833333333333</c:v>
                </c:pt>
                <c:pt idx="11">
                  <c:v>0.596180555555556</c:v>
                </c:pt>
                <c:pt idx="12">
                  <c:v>0.596527777777778</c:v>
                </c:pt>
                <c:pt idx="13">
                  <c:v>0.596875</c:v>
                </c:pt>
                <c:pt idx="14">
                  <c:v>0.597222222222222</c:v>
                </c:pt>
                <c:pt idx="15">
                  <c:v>0.597569444444445</c:v>
                </c:pt>
                <c:pt idx="16">
                  <c:v>0.597916666666667</c:v>
                </c:pt>
                <c:pt idx="17">
                  <c:v>0.598263888888889</c:v>
                </c:pt>
                <c:pt idx="18">
                  <c:v>0.598611111111111</c:v>
                </c:pt>
                <c:pt idx="19">
                  <c:v>0.598958333333333</c:v>
                </c:pt>
                <c:pt idx="20">
                  <c:v>0.599305555555556</c:v>
                </c:pt>
                <c:pt idx="21">
                  <c:v>0.599652777777778</c:v>
                </c:pt>
                <c:pt idx="22">
                  <c:v>0.6</c:v>
                </c:pt>
                <c:pt idx="23">
                  <c:v>0.600347222222222</c:v>
                </c:pt>
                <c:pt idx="24">
                  <c:v>0.600694444444444</c:v>
                </c:pt>
                <c:pt idx="25">
                  <c:v>0.601041666666667</c:v>
                </c:pt>
                <c:pt idx="26">
                  <c:v>0.601388888888889</c:v>
                </c:pt>
                <c:pt idx="27">
                  <c:v>0.601736111111111</c:v>
                </c:pt>
                <c:pt idx="28">
                  <c:v>0.602083333333333</c:v>
                </c:pt>
                <c:pt idx="29">
                  <c:v>0.602430555555556</c:v>
                </c:pt>
                <c:pt idx="30">
                  <c:v>0.602777777777778</c:v>
                </c:pt>
                <c:pt idx="31">
                  <c:v>0.603125</c:v>
                </c:pt>
                <c:pt idx="32">
                  <c:v>0.603472222222222</c:v>
                </c:pt>
                <c:pt idx="33">
                  <c:v>0.603819444444445</c:v>
                </c:pt>
                <c:pt idx="34">
                  <c:v>0.604166666666667</c:v>
                </c:pt>
                <c:pt idx="35">
                  <c:v>0.604513888888889</c:v>
                </c:pt>
                <c:pt idx="36">
                  <c:v>0.604861111111111</c:v>
                </c:pt>
                <c:pt idx="37">
                  <c:v>0.605208333333333</c:v>
                </c:pt>
                <c:pt idx="38">
                  <c:v>0.605555555555556</c:v>
                </c:pt>
                <c:pt idx="39">
                  <c:v>0.605902777777778</c:v>
                </c:pt>
                <c:pt idx="40">
                  <c:v>0.60625</c:v>
                </c:pt>
                <c:pt idx="41">
                  <c:v>0.606597222222222</c:v>
                </c:pt>
                <c:pt idx="42">
                  <c:v>0.606944444444444</c:v>
                </c:pt>
                <c:pt idx="43">
                  <c:v>0.607291666666667</c:v>
                </c:pt>
                <c:pt idx="44">
                  <c:v>0.607638888888889</c:v>
                </c:pt>
                <c:pt idx="45">
                  <c:v>0.607986111111111</c:v>
                </c:pt>
                <c:pt idx="46">
                  <c:v>0.608333333333333</c:v>
                </c:pt>
                <c:pt idx="47">
                  <c:v>0.608680555555556</c:v>
                </c:pt>
                <c:pt idx="48">
                  <c:v>0.609027777777778</c:v>
                </c:pt>
                <c:pt idx="49">
                  <c:v>0.609375</c:v>
                </c:pt>
                <c:pt idx="50">
                  <c:v>0.609722222222222</c:v>
                </c:pt>
                <c:pt idx="51">
                  <c:v>0.610069444444444</c:v>
                </c:pt>
                <c:pt idx="52">
                  <c:v>0.610416666666667</c:v>
                </c:pt>
                <c:pt idx="53">
                  <c:v>0.610763888888889</c:v>
                </c:pt>
                <c:pt idx="54">
                  <c:v>0.611111111111111</c:v>
                </c:pt>
                <c:pt idx="55">
                  <c:v>0.611458333333333</c:v>
                </c:pt>
                <c:pt idx="56">
                  <c:v>0.611805555555556</c:v>
                </c:pt>
                <c:pt idx="57">
                  <c:v>0.612152777777778</c:v>
                </c:pt>
                <c:pt idx="58">
                  <c:v>0.6125</c:v>
                </c:pt>
                <c:pt idx="59">
                  <c:v>0.612847222222222</c:v>
                </c:pt>
                <c:pt idx="60">
                  <c:v>0.613194444444445</c:v>
                </c:pt>
                <c:pt idx="61">
                  <c:v>0.613541666666667</c:v>
                </c:pt>
                <c:pt idx="62">
                  <c:v>0.613888888888889</c:v>
                </c:pt>
                <c:pt idx="63">
                  <c:v>0.614236111111111</c:v>
                </c:pt>
                <c:pt idx="64">
                  <c:v>0.614583333333333</c:v>
                </c:pt>
                <c:pt idx="65">
                  <c:v>0.614930555555556</c:v>
                </c:pt>
                <c:pt idx="66">
                  <c:v>0.615277777777778</c:v>
                </c:pt>
                <c:pt idx="67">
                  <c:v>0.615625</c:v>
                </c:pt>
                <c:pt idx="68">
                  <c:v>0.615972222222222</c:v>
                </c:pt>
                <c:pt idx="69">
                  <c:v>0.616319444444444</c:v>
                </c:pt>
                <c:pt idx="70">
                  <c:v>0.616666666666667</c:v>
                </c:pt>
                <c:pt idx="71">
                  <c:v>0.617013888888889</c:v>
                </c:pt>
                <c:pt idx="72">
                  <c:v>0.617361111111111</c:v>
                </c:pt>
                <c:pt idx="73">
                  <c:v>0.617708333333333</c:v>
                </c:pt>
                <c:pt idx="74">
                  <c:v>0.618055555555556</c:v>
                </c:pt>
                <c:pt idx="75">
                  <c:v>0.618402777777778</c:v>
                </c:pt>
                <c:pt idx="76">
                  <c:v>0.61875</c:v>
                </c:pt>
                <c:pt idx="77">
                  <c:v>0.619097222222222</c:v>
                </c:pt>
                <c:pt idx="78">
                  <c:v>0.619444444444445</c:v>
                </c:pt>
                <c:pt idx="79">
                  <c:v>0.619791666666667</c:v>
                </c:pt>
                <c:pt idx="80">
                  <c:v>0.620138888888889</c:v>
                </c:pt>
                <c:pt idx="81">
                  <c:v>0.620486111111111</c:v>
                </c:pt>
                <c:pt idx="82">
                  <c:v>0.620833333333333</c:v>
                </c:pt>
                <c:pt idx="83">
                  <c:v>0.621180555555556</c:v>
                </c:pt>
                <c:pt idx="84">
                  <c:v>0.621527777777778</c:v>
                </c:pt>
                <c:pt idx="85">
                  <c:v>0.621875</c:v>
                </c:pt>
                <c:pt idx="86">
                  <c:v>0.622222222222222</c:v>
                </c:pt>
                <c:pt idx="87">
                  <c:v>0.622569444444444</c:v>
                </c:pt>
                <c:pt idx="88">
                  <c:v>0.622916666666667</c:v>
                </c:pt>
                <c:pt idx="89">
                  <c:v>0.623263888888889</c:v>
                </c:pt>
                <c:pt idx="90">
                  <c:v>0.623611111111111</c:v>
                </c:pt>
                <c:pt idx="91">
                  <c:v>0.623958333333333</c:v>
                </c:pt>
                <c:pt idx="92">
                  <c:v>0.624305555555556</c:v>
                </c:pt>
                <c:pt idx="93">
                  <c:v>0.624652777777778</c:v>
                </c:pt>
                <c:pt idx="94">
                  <c:v>0.625</c:v>
                </c:pt>
                <c:pt idx="95">
                  <c:v>0.625347222222222</c:v>
                </c:pt>
                <c:pt idx="96">
                  <c:v>0.625694444444444</c:v>
                </c:pt>
                <c:pt idx="97">
                  <c:v>0.626041666666667</c:v>
                </c:pt>
                <c:pt idx="98">
                  <c:v>0.626388888888889</c:v>
                </c:pt>
                <c:pt idx="99">
                  <c:v>0.626736111111111</c:v>
                </c:pt>
                <c:pt idx="100">
                  <c:v>0.627083333333333</c:v>
                </c:pt>
                <c:pt idx="101">
                  <c:v>0.627430555555556</c:v>
                </c:pt>
                <c:pt idx="102">
                  <c:v>0.627777777777778</c:v>
                </c:pt>
                <c:pt idx="103">
                  <c:v>0.628125</c:v>
                </c:pt>
                <c:pt idx="104">
                  <c:v>0.628472222222222</c:v>
                </c:pt>
                <c:pt idx="105">
                  <c:v>0.628819444444445</c:v>
                </c:pt>
                <c:pt idx="106">
                  <c:v>0.629166666666667</c:v>
                </c:pt>
                <c:pt idx="107">
                  <c:v>0.629513888888889</c:v>
                </c:pt>
                <c:pt idx="108">
                  <c:v>0.629861111111111</c:v>
                </c:pt>
                <c:pt idx="109">
                  <c:v>0.630208333333333</c:v>
                </c:pt>
                <c:pt idx="110">
                  <c:v>0.630555555555556</c:v>
                </c:pt>
                <c:pt idx="111">
                  <c:v>0.630902777777778</c:v>
                </c:pt>
                <c:pt idx="112">
                  <c:v>0.63125</c:v>
                </c:pt>
                <c:pt idx="113">
                  <c:v>0.631597222222222</c:v>
                </c:pt>
                <c:pt idx="114">
                  <c:v>0.631944444444444</c:v>
                </c:pt>
                <c:pt idx="115">
                  <c:v>0.632291666666667</c:v>
                </c:pt>
                <c:pt idx="116">
                  <c:v>0.632638888888889</c:v>
                </c:pt>
                <c:pt idx="117">
                  <c:v>0.632986111111111</c:v>
                </c:pt>
                <c:pt idx="118">
                  <c:v>0.633333333333333</c:v>
                </c:pt>
                <c:pt idx="119">
                  <c:v>0.633680555555556</c:v>
                </c:pt>
                <c:pt idx="120">
                  <c:v>0.634027777777778</c:v>
                </c:pt>
                <c:pt idx="121">
                  <c:v>0.634375</c:v>
                </c:pt>
                <c:pt idx="122">
                  <c:v>0.634722222222222</c:v>
                </c:pt>
                <c:pt idx="123">
                  <c:v>0.635069444444445</c:v>
                </c:pt>
                <c:pt idx="124">
                  <c:v>0.635416666666667</c:v>
                </c:pt>
                <c:pt idx="125">
                  <c:v>0.635763888888889</c:v>
                </c:pt>
                <c:pt idx="126">
                  <c:v>0.636111111111111</c:v>
                </c:pt>
                <c:pt idx="127">
                  <c:v>0.636458333333333</c:v>
                </c:pt>
                <c:pt idx="128">
                  <c:v>0.636805555555556</c:v>
                </c:pt>
                <c:pt idx="129">
                  <c:v>0.637152777777778</c:v>
                </c:pt>
                <c:pt idx="130">
                  <c:v>0.6375</c:v>
                </c:pt>
                <c:pt idx="131">
                  <c:v>0.637847222222222</c:v>
                </c:pt>
                <c:pt idx="132">
                  <c:v>0.638194444444444</c:v>
                </c:pt>
                <c:pt idx="133">
                  <c:v>0.638541666666667</c:v>
                </c:pt>
                <c:pt idx="134">
                  <c:v>0.638888888888889</c:v>
                </c:pt>
                <c:pt idx="135">
                  <c:v>0.639236111111111</c:v>
                </c:pt>
                <c:pt idx="136">
                  <c:v>0.639583333333333</c:v>
                </c:pt>
                <c:pt idx="137">
                  <c:v>0.639930555555556</c:v>
                </c:pt>
                <c:pt idx="138">
                  <c:v>0.640277777777778</c:v>
                </c:pt>
                <c:pt idx="139">
                  <c:v>0.640625</c:v>
                </c:pt>
                <c:pt idx="140">
                  <c:v>0.640972222222222</c:v>
                </c:pt>
                <c:pt idx="141">
                  <c:v>0.641319444444444</c:v>
                </c:pt>
                <c:pt idx="142">
                  <c:v>0.641666666666667</c:v>
                </c:pt>
                <c:pt idx="143">
                  <c:v>0.642013888888889</c:v>
                </c:pt>
                <c:pt idx="144">
                  <c:v>0.642361111111111</c:v>
                </c:pt>
                <c:pt idx="145">
                  <c:v>0.642708333333333</c:v>
                </c:pt>
                <c:pt idx="146">
                  <c:v>0.643055555555556</c:v>
                </c:pt>
                <c:pt idx="147">
                  <c:v>0.643402777777778</c:v>
                </c:pt>
                <c:pt idx="148">
                  <c:v>0.64375</c:v>
                </c:pt>
                <c:pt idx="149">
                  <c:v>0.644097222222222</c:v>
                </c:pt>
                <c:pt idx="150">
                  <c:v>0.644444444444445</c:v>
                </c:pt>
                <c:pt idx="151">
                  <c:v>0.644791666666667</c:v>
                </c:pt>
                <c:pt idx="152">
                  <c:v>0.645138888888889</c:v>
                </c:pt>
                <c:pt idx="153">
                  <c:v>0.645486111111111</c:v>
                </c:pt>
                <c:pt idx="154">
                  <c:v>0.645833333333333</c:v>
                </c:pt>
                <c:pt idx="155">
                  <c:v>0.646180555555556</c:v>
                </c:pt>
                <c:pt idx="156">
                  <c:v>0.646527777777778</c:v>
                </c:pt>
                <c:pt idx="157">
                  <c:v>0.646875</c:v>
                </c:pt>
                <c:pt idx="158">
                  <c:v>0.647222222222222</c:v>
                </c:pt>
                <c:pt idx="159">
                  <c:v>0.647569444444444</c:v>
                </c:pt>
                <c:pt idx="160">
                  <c:v>0.647916666666667</c:v>
                </c:pt>
                <c:pt idx="161">
                  <c:v>0.648263888888889</c:v>
                </c:pt>
                <c:pt idx="162">
                  <c:v>0.648611111111111</c:v>
                </c:pt>
                <c:pt idx="163">
                  <c:v>0.648958333333333</c:v>
                </c:pt>
                <c:pt idx="164">
                  <c:v>0.649305555555556</c:v>
                </c:pt>
                <c:pt idx="165">
                  <c:v>0.649652777777778</c:v>
                </c:pt>
                <c:pt idx="166">
                  <c:v>0.65</c:v>
                </c:pt>
                <c:pt idx="167">
                  <c:v>0.650347222222222</c:v>
                </c:pt>
                <c:pt idx="168">
                  <c:v>0.650694444444445</c:v>
                </c:pt>
                <c:pt idx="169">
                  <c:v>0.651041666666667</c:v>
                </c:pt>
                <c:pt idx="170">
                  <c:v>0.651388888888889</c:v>
                </c:pt>
                <c:pt idx="171">
                  <c:v>0.651736111111111</c:v>
                </c:pt>
                <c:pt idx="172">
                  <c:v>0.652083333333333</c:v>
                </c:pt>
                <c:pt idx="173">
                  <c:v>0.652430555555556</c:v>
                </c:pt>
                <c:pt idx="174">
                  <c:v>0.652777777777778</c:v>
                </c:pt>
                <c:pt idx="175">
                  <c:v>0.653125</c:v>
                </c:pt>
                <c:pt idx="176">
                  <c:v>0.653472222222222</c:v>
                </c:pt>
                <c:pt idx="177">
                  <c:v>0.653819444444444</c:v>
                </c:pt>
                <c:pt idx="178">
                  <c:v>0.654166666666667</c:v>
                </c:pt>
                <c:pt idx="179">
                  <c:v>0.654513888888889</c:v>
                </c:pt>
                <c:pt idx="180">
                  <c:v>0.654861111111111</c:v>
                </c:pt>
                <c:pt idx="181">
                  <c:v>0.655208333333333</c:v>
                </c:pt>
                <c:pt idx="182">
                  <c:v>0.655555555555556</c:v>
                </c:pt>
                <c:pt idx="183">
                  <c:v>0.655902777777778</c:v>
                </c:pt>
                <c:pt idx="184">
                  <c:v>0.65625</c:v>
                </c:pt>
                <c:pt idx="185">
                  <c:v>0.656597222222222</c:v>
                </c:pt>
                <c:pt idx="186">
                  <c:v>0.656944444444444</c:v>
                </c:pt>
                <c:pt idx="187">
                  <c:v>0.657291666666667</c:v>
                </c:pt>
                <c:pt idx="188">
                  <c:v>0.657638888888889</c:v>
                </c:pt>
                <c:pt idx="189">
                  <c:v>0.657986111111111</c:v>
                </c:pt>
                <c:pt idx="190">
                  <c:v>0.658333333333333</c:v>
                </c:pt>
                <c:pt idx="191">
                  <c:v>0.658680555555556</c:v>
                </c:pt>
                <c:pt idx="192">
                  <c:v>0.659027777777778</c:v>
                </c:pt>
                <c:pt idx="193">
                  <c:v>0.659375</c:v>
                </c:pt>
                <c:pt idx="194">
                  <c:v>0.659722222222222</c:v>
                </c:pt>
                <c:pt idx="195">
                  <c:v>0.660069444444445</c:v>
                </c:pt>
                <c:pt idx="196">
                  <c:v>0.660416666666667</c:v>
                </c:pt>
                <c:pt idx="197">
                  <c:v>0.660763888888889</c:v>
                </c:pt>
                <c:pt idx="198">
                  <c:v>0.661111111111111</c:v>
                </c:pt>
                <c:pt idx="199">
                  <c:v>0.661458333333333</c:v>
                </c:pt>
                <c:pt idx="200">
                  <c:v>0.661805555555556</c:v>
                </c:pt>
                <c:pt idx="201">
                  <c:v>0.662152777777778</c:v>
                </c:pt>
                <c:pt idx="202">
                  <c:v>0.6625</c:v>
                </c:pt>
                <c:pt idx="203">
                  <c:v>0.662847222222222</c:v>
                </c:pt>
                <c:pt idx="204">
                  <c:v>0.663194444444444</c:v>
                </c:pt>
                <c:pt idx="205">
                  <c:v>0.663541666666667</c:v>
                </c:pt>
                <c:pt idx="206">
                  <c:v>0.663888888888889</c:v>
                </c:pt>
                <c:pt idx="207">
                  <c:v>0.664236111111111</c:v>
                </c:pt>
                <c:pt idx="208">
                  <c:v>0.664583333333333</c:v>
                </c:pt>
                <c:pt idx="209">
                  <c:v>0.664930555555556</c:v>
                </c:pt>
                <c:pt idx="210">
                  <c:v>0.665277777777778</c:v>
                </c:pt>
                <c:pt idx="211">
                  <c:v>0.665625</c:v>
                </c:pt>
                <c:pt idx="212">
                  <c:v>0.665972222222222</c:v>
                </c:pt>
                <c:pt idx="213">
                  <c:v>0.666319444444445</c:v>
                </c:pt>
                <c:pt idx="214">
                  <c:v>0.666666666666667</c:v>
                </c:pt>
                <c:pt idx="215">
                  <c:v>0.667013888888889</c:v>
                </c:pt>
                <c:pt idx="216">
                  <c:v>0.667361111111111</c:v>
                </c:pt>
                <c:pt idx="217">
                  <c:v>0.667708333333333</c:v>
                </c:pt>
                <c:pt idx="218">
                  <c:v>0.668055555555556</c:v>
                </c:pt>
                <c:pt idx="219">
                  <c:v>0.668402777777778</c:v>
                </c:pt>
                <c:pt idx="220">
                  <c:v>0.66875</c:v>
                </c:pt>
                <c:pt idx="221">
                  <c:v>0.669097222222222</c:v>
                </c:pt>
                <c:pt idx="222">
                  <c:v>0.669444444444445</c:v>
                </c:pt>
                <c:pt idx="223">
                  <c:v>0.669791666666667</c:v>
                </c:pt>
                <c:pt idx="224">
                  <c:v>0.670138888888889</c:v>
                </c:pt>
                <c:pt idx="225">
                  <c:v>0.670486111111111</c:v>
                </c:pt>
                <c:pt idx="226">
                  <c:v>0.670833333333333</c:v>
                </c:pt>
                <c:pt idx="227">
                  <c:v>0.671180555555556</c:v>
                </c:pt>
                <c:pt idx="228">
                  <c:v>0.671527777777778</c:v>
                </c:pt>
                <c:pt idx="229">
                  <c:v>0.671875</c:v>
                </c:pt>
                <c:pt idx="230">
                  <c:v>0.672222222222222</c:v>
                </c:pt>
                <c:pt idx="231">
                  <c:v>0.672569444444444</c:v>
                </c:pt>
                <c:pt idx="232">
                  <c:v>0.672916666666667</c:v>
                </c:pt>
                <c:pt idx="233">
                  <c:v>0.673263888888889</c:v>
                </c:pt>
                <c:pt idx="234">
                  <c:v>0.673611111111111</c:v>
                </c:pt>
                <c:pt idx="235">
                  <c:v>0.673958333333333</c:v>
                </c:pt>
                <c:pt idx="236">
                  <c:v>0.674305555555556</c:v>
                </c:pt>
                <c:pt idx="237">
                  <c:v>0.674652777777778</c:v>
                </c:pt>
                <c:pt idx="238">
                  <c:v>0.675</c:v>
                </c:pt>
                <c:pt idx="239">
                  <c:v>0.675347222222222</c:v>
                </c:pt>
                <c:pt idx="240">
                  <c:v>0.675694444444445</c:v>
                </c:pt>
                <c:pt idx="241">
                  <c:v>0.676041666666667</c:v>
                </c:pt>
                <c:pt idx="242">
                  <c:v>0.676388888888889</c:v>
                </c:pt>
                <c:pt idx="243">
                  <c:v>0.676736111111111</c:v>
                </c:pt>
                <c:pt idx="244">
                  <c:v>0.677083333333333</c:v>
                </c:pt>
                <c:pt idx="245">
                  <c:v>0.677430555555556</c:v>
                </c:pt>
                <c:pt idx="246">
                  <c:v>0.677777777777778</c:v>
                </c:pt>
                <c:pt idx="247">
                  <c:v>0.678125</c:v>
                </c:pt>
                <c:pt idx="248">
                  <c:v>0.678472222222222</c:v>
                </c:pt>
                <c:pt idx="249">
                  <c:v>0.678819444444444</c:v>
                </c:pt>
                <c:pt idx="250">
                  <c:v>0.679166666666667</c:v>
                </c:pt>
                <c:pt idx="251">
                  <c:v>0.679513888888889</c:v>
                </c:pt>
                <c:pt idx="252">
                  <c:v>0.679861111111111</c:v>
                </c:pt>
                <c:pt idx="253">
                  <c:v>0.680208333333333</c:v>
                </c:pt>
                <c:pt idx="254">
                  <c:v>0.680555555555556</c:v>
                </c:pt>
                <c:pt idx="255">
                  <c:v>0.680902777777778</c:v>
                </c:pt>
                <c:pt idx="256">
                  <c:v>0.68125</c:v>
                </c:pt>
                <c:pt idx="257">
                  <c:v>0.681597222222222</c:v>
                </c:pt>
                <c:pt idx="258">
                  <c:v>0.681944444444445</c:v>
                </c:pt>
                <c:pt idx="259">
                  <c:v>0.682291666666667</c:v>
                </c:pt>
                <c:pt idx="260">
                  <c:v>0.682638888888889</c:v>
                </c:pt>
                <c:pt idx="261">
                  <c:v>0.682986111111111</c:v>
                </c:pt>
                <c:pt idx="262">
                  <c:v>0.683333333333333</c:v>
                </c:pt>
                <c:pt idx="263">
                  <c:v>0.683680555555556</c:v>
                </c:pt>
                <c:pt idx="264">
                  <c:v>0.684027777777778</c:v>
                </c:pt>
                <c:pt idx="265">
                  <c:v>0.684375</c:v>
                </c:pt>
                <c:pt idx="266">
                  <c:v>0.684722222222222</c:v>
                </c:pt>
                <c:pt idx="267">
                  <c:v>0.685069444444445</c:v>
                </c:pt>
                <c:pt idx="268">
                  <c:v>0.685416666666667</c:v>
                </c:pt>
                <c:pt idx="269">
                  <c:v>0.685763888888889</c:v>
                </c:pt>
                <c:pt idx="270">
                  <c:v>0.686111111111111</c:v>
                </c:pt>
                <c:pt idx="271">
                  <c:v>0.686458333333333</c:v>
                </c:pt>
                <c:pt idx="272">
                  <c:v>0.686805555555556</c:v>
                </c:pt>
                <c:pt idx="273">
                  <c:v>0.687152777777778</c:v>
                </c:pt>
                <c:pt idx="274">
                  <c:v>0.6875</c:v>
                </c:pt>
                <c:pt idx="275">
                  <c:v>0.687847222222222</c:v>
                </c:pt>
                <c:pt idx="276">
                  <c:v>0.688194444444444</c:v>
                </c:pt>
                <c:pt idx="277">
                  <c:v>0.688541666666667</c:v>
                </c:pt>
                <c:pt idx="278">
                  <c:v>0.688888888888889</c:v>
                </c:pt>
                <c:pt idx="279">
                  <c:v>0.689236111111111</c:v>
                </c:pt>
                <c:pt idx="280">
                  <c:v>0.689583333333333</c:v>
                </c:pt>
                <c:pt idx="281">
                  <c:v>0.689930555555556</c:v>
                </c:pt>
                <c:pt idx="282">
                  <c:v>0.690277777777778</c:v>
                </c:pt>
                <c:pt idx="283">
                  <c:v>0.690625</c:v>
                </c:pt>
                <c:pt idx="284">
                  <c:v>0.690972222222222</c:v>
                </c:pt>
                <c:pt idx="285">
                  <c:v>0.691319444444445</c:v>
                </c:pt>
                <c:pt idx="286">
                  <c:v>0.691666666666667</c:v>
                </c:pt>
                <c:pt idx="287">
                  <c:v>0.692013888888889</c:v>
                </c:pt>
                <c:pt idx="288">
                  <c:v>0.692361111111111</c:v>
                </c:pt>
                <c:pt idx="289">
                  <c:v>0.692708333333333</c:v>
                </c:pt>
                <c:pt idx="290">
                  <c:v>0.693055555555556</c:v>
                </c:pt>
                <c:pt idx="291">
                  <c:v>0.693402777777778</c:v>
                </c:pt>
                <c:pt idx="292">
                  <c:v>0.69375</c:v>
                </c:pt>
                <c:pt idx="293">
                  <c:v>0.694097222222222</c:v>
                </c:pt>
                <c:pt idx="294">
                  <c:v>0.694444444444444</c:v>
                </c:pt>
                <c:pt idx="295">
                  <c:v>0.694791666666667</c:v>
                </c:pt>
                <c:pt idx="296">
                  <c:v>0.695138888888889</c:v>
                </c:pt>
                <c:pt idx="297">
                  <c:v>0.695486111111111</c:v>
                </c:pt>
                <c:pt idx="298">
                  <c:v>0.695833333333333</c:v>
                </c:pt>
                <c:pt idx="299">
                  <c:v>0.696180555555556</c:v>
                </c:pt>
                <c:pt idx="300">
                  <c:v>0.696527777777778</c:v>
                </c:pt>
                <c:pt idx="301">
                  <c:v>0.696875</c:v>
                </c:pt>
                <c:pt idx="302">
                  <c:v>0.697222222222222</c:v>
                </c:pt>
                <c:pt idx="303">
                  <c:v>0.697569444444445</c:v>
                </c:pt>
                <c:pt idx="304">
                  <c:v>0.697916666666667</c:v>
                </c:pt>
                <c:pt idx="305">
                  <c:v>0.698263888888889</c:v>
                </c:pt>
                <c:pt idx="306">
                  <c:v>0.698611111111111</c:v>
                </c:pt>
                <c:pt idx="307">
                  <c:v>0.698958333333333</c:v>
                </c:pt>
                <c:pt idx="308">
                  <c:v>0.699305555555556</c:v>
                </c:pt>
                <c:pt idx="309">
                  <c:v>0.699652777777778</c:v>
                </c:pt>
                <c:pt idx="310">
                  <c:v>0.7</c:v>
                </c:pt>
                <c:pt idx="311">
                  <c:v>0.700347222222222</c:v>
                </c:pt>
                <c:pt idx="312">
                  <c:v>0.700694444444445</c:v>
                </c:pt>
                <c:pt idx="313">
                  <c:v>0.701041666666667</c:v>
                </c:pt>
                <c:pt idx="314">
                  <c:v>0.701388888888889</c:v>
                </c:pt>
                <c:pt idx="315">
                  <c:v>0.701736111111111</c:v>
                </c:pt>
                <c:pt idx="316">
                  <c:v>0.702083333333333</c:v>
                </c:pt>
                <c:pt idx="317">
                  <c:v>0.702430555555556</c:v>
                </c:pt>
                <c:pt idx="318">
                  <c:v>0.702777777777778</c:v>
                </c:pt>
                <c:pt idx="319">
                  <c:v>0.703125</c:v>
                </c:pt>
                <c:pt idx="320">
                  <c:v>0.703472222222222</c:v>
                </c:pt>
                <c:pt idx="321">
                  <c:v>0.703819444444444</c:v>
                </c:pt>
                <c:pt idx="322">
                  <c:v>0.704166666666667</c:v>
                </c:pt>
                <c:pt idx="323">
                  <c:v>0.704513888888889</c:v>
                </c:pt>
                <c:pt idx="324">
                  <c:v>0.704861111111111</c:v>
                </c:pt>
                <c:pt idx="325">
                  <c:v>0.705208333333333</c:v>
                </c:pt>
                <c:pt idx="326">
                  <c:v>0.705555555555556</c:v>
                </c:pt>
                <c:pt idx="327">
                  <c:v>0.705902777777778</c:v>
                </c:pt>
                <c:pt idx="328">
                  <c:v>0.70625</c:v>
                </c:pt>
                <c:pt idx="329">
                  <c:v>0.706597222222222</c:v>
                </c:pt>
                <c:pt idx="330">
                  <c:v>0.706944444444445</c:v>
                </c:pt>
                <c:pt idx="331">
                  <c:v>0.707291666666667</c:v>
                </c:pt>
                <c:pt idx="332">
                  <c:v>0.707638888888889</c:v>
                </c:pt>
                <c:pt idx="333">
                  <c:v>0.707986111111111</c:v>
                </c:pt>
                <c:pt idx="334">
                  <c:v>0.708333333333333</c:v>
                </c:pt>
                <c:pt idx="335">
                  <c:v>0.708680555555556</c:v>
                </c:pt>
                <c:pt idx="336">
                  <c:v>0.709027777777778</c:v>
                </c:pt>
                <c:pt idx="337">
                  <c:v>0.709375</c:v>
                </c:pt>
                <c:pt idx="338">
                  <c:v>0.709722222222222</c:v>
                </c:pt>
                <c:pt idx="339">
                  <c:v>0.710069444444444</c:v>
                </c:pt>
                <c:pt idx="340">
                  <c:v>0.710416666666667</c:v>
                </c:pt>
                <c:pt idx="341">
                  <c:v>0.710763888888889</c:v>
                </c:pt>
                <c:pt idx="342">
                  <c:v>0.711111111111111</c:v>
                </c:pt>
                <c:pt idx="343">
                  <c:v>0.711458333333333</c:v>
                </c:pt>
                <c:pt idx="344">
                  <c:v>0.711805555555556</c:v>
                </c:pt>
                <c:pt idx="345">
                  <c:v>0.712152777777778</c:v>
                </c:pt>
                <c:pt idx="346">
                  <c:v>0.7125</c:v>
                </c:pt>
                <c:pt idx="347">
                  <c:v>0.712847222222222</c:v>
                </c:pt>
                <c:pt idx="348">
                  <c:v>0.713194444444445</c:v>
                </c:pt>
                <c:pt idx="349">
                  <c:v>0.713541666666667</c:v>
                </c:pt>
                <c:pt idx="350">
                  <c:v>0.713888888888889</c:v>
                </c:pt>
                <c:pt idx="351">
                  <c:v>0.714236111111111</c:v>
                </c:pt>
                <c:pt idx="352">
                  <c:v>0.714583333333333</c:v>
                </c:pt>
                <c:pt idx="353">
                  <c:v>0.714930555555556</c:v>
                </c:pt>
                <c:pt idx="354">
                  <c:v>0.715277777777778</c:v>
                </c:pt>
                <c:pt idx="355">
                  <c:v>0.715625</c:v>
                </c:pt>
                <c:pt idx="356">
                  <c:v>0.715972222222222</c:v>
                </c:pt>
                <c:pt idx="357">
                  <c:v>0.716319444444445</c:v>
                </c:pt>
                <c:pt idx="358">
                  <c:v>0.716666666666667</c:v>
                </c:pt>
                <c:pt idx="359">
                  <c:v>0.717013888888889</c:v>
                </c:pt>
                <c:pt idx="360">
                  <c:v>0.717361111111111</c:v>
                </c:pt>
                <c:pt idx="361">
                  <c:v>0.717708333333333</c:v>
                </c:pt>
                <c:pt idx="362">
                  <c:v>0.718055555555556</c:v>
                </c:pt>
                <c:pt idx="363">
                  <c:v>0.718402777777778</c:v>
                </c:pt>
                <c:pt idx="364">
                  <c:v>0.71875</c:v>
                </c:pt>
                <c:pt idx="365">
                  <c:v>0.719097222222222</c:v>
                </c:pt>
                <c:pt idx="366">
                  <c:v>0.719444444444444</c:v>
                </c:pt>
                <c:pt idx="367">
                  <c:v>0.719791666666667</c:v>
                </c:pt>
                <c:pt idx="368">
                  <c:v>0.720138888888889</c:v>
                </c:pt>
                <c:pt idx="369">
                  <c:v>0.720486111111111</c:v>
                </c:pt>
                <c:pt idx="370">
                  <c:v>0.720833333333333</c:v>
                </c:pt>
                <c:pt idx="371">
                  <c:v>0.721180555555556</c:v>
                </c:pt>
                <c:pt idx="372">
                  <c:v>0.721527777777778</c:v>
                </c:pt>
                <c:pt idx="373">
                  <c:v>0.721875</c:v>
                </c:pt>
                <c:pt idx="374">
                  <c:v>0.722222222222222</c:v>
                </c:pt>
                <c:pt idx="375">
                  <c:v>0.722569444444445</c:v>
                </c:pt>
                <c:pt idx="376">
                  <c:v>0.722916666666667</c:v>
                </c:pt>
                <c:pt idx="377">
                  <c:v>0.723263888888889</c:v>
                </c:pt>
                <c:pt idx="378">
                  <c:v>0.723611111111111</c:v>
                </c:pt>
                <c:pt idx="379">
                  <c:v>0.723958333333333</c:v>
                </c:pt>
                <c:pt idx="380">
                  <c:v>0.724305555555556</c:v>
                </c:pt>
                <c:pt idx="381">
                  <c:v>0.724652777777778</c:v>
                </c:pt>
                <c:pt idx="382">
                  <c:v>0.725</c:v>
                </c:pt>
                <c:pt idx="383">
                  <c:v>0.725347222222222</c:v>
                </c:pt>
                <c:pt idx="384">
                  <c:v>0.725694444444444</c:v>
                </c:pt>
                <c:pt idx="385">
                  <c:v>0.726041666666667</c:v>
                </c:pt>
                <c:pt idx="386">
                  <c:v>0.726388888888889</c:v>
                </c:pt>
                <c:pt idx="387">
                  <c:v>0.726736111111111</c:v>
                </c:pt>
                <c:pt idx="388">
                  <c:v>0.727083333333333</c:v>
                </c:pt>
                <c:pt idx="389">
                  <c:v>0.727430555555556</c:v>
                </c:pt>
                <c:pt idx="390">
                  <c:v>0.727777777777778</c:v>
                </c:pt>
                <c:pt idx="391">
                  <c:v>0.728125</c:v>
                </c:pt>
                <c:pt idx="392">
                  <c:v>0.728472222222222</c:v>
                </c:pt>
                <c:pt idx="393">
                  <c:v>0.728819444444445</c:v>
                </c:pt>
                <c:pt idx="394">
                  <c:v>0.729166666666667</c:v>
                </c:pt>
                <c:pt idx="395">
                  <c:v>0.729513888888889</c:v>
                </c:pt>
                <c:pt idx="396">
                  <c:v>0.729861111111111</c:v>
                </c:pt>
                <c:pt idx="397">
                  <c:v>0.730208333333333</c:v>
                </c:pt>
                <c:pt idx="398">
                  <c:v>0.730555555555556</c:v>
                </c:pt>
                <c:pt idx="399">
                  <c:v>0.730902777777778</c:v>
                </c:pt>
                <c:pt idx="400">
                  <c:v>0.73125</c:v>
                </c:pt>
                <c:pt idx="401">
                  <c:v>0.731597222222222</c:v>
                </c:pt>
                <c:pt idx="402">
                  <c:v>0.731944444444445</c:v>
                </c:pt>
                <c:pt idx="403">
                  <c:v>0.732291666666667</c:v>
                </c:pt>
                <c:pt idx="404">
                  <c:v>0.732638888888889</c:v>
                </c:pt>
                <c:pt idx="405">
                  <c:v>0.732986111111111</c:v>
                </c:pt>
                <c:pt idx="406">
                  <c:v>0.733333333333333</c:v>
                </c:pt>
                <c:pt idx="407">
                  <c:v>0.733680555555556</c:v>
                </c:pt>
                <c:pt idx="408">
                  <c:v>0.734027777777778</c:v>
                </c:pt>
                <c:pt idx="409">
                  <c:v>0.734375</c:v>
                </c:pt>
                <c:pt idx="410">
                  <c:v>0.734722222222222</c:v>
                </c:pt>
                <c:pt idx="411">
                  <c:v>0.735069444444444</c:v>
                </c:pt>
                <c:pt idx="412">
                  <c:v>0.735416666666667</c:v>
                </c:pt>
                <c:pt idx="413">
                  <c:v>0.735763888888889</c:v>
                </c:pt>
                <c:pt idx="414">
                  <c:v>0.736111111111111</c:v>
                </c:pt>
                <c:pt idx="415">
                  <c:v>0.736458333333333</c:v>
                </c:pt>
                <c:pt idx="416">
                  <c:v>0.736805555555556</c:v>
                </c:pt>
                <c:pt idx="417">
                  <c:v>0.737152777777778</c:v>
                </c:pt>
                <c:pt idx="418">
                  <c:v>0.7375</c:v>
                </c:pt>
                <c:pt idx="419">
                  <c:v>0.737847222222222</c:v>
                </c:pt>
                <c:pt idx="420">
                  <c:v>0.738194444444445</c:v>
                </c:pt>
                <c:pt idx="421">
                  <c:v>0.738541666666667</c:v>
                </c:pt>
                <c:pt idx="422">
                  <c:v>0.738888888888889</c:v>
                </c:pt>
                <c:pt idx="423">
                  <c:v>0.739236111111111</c:v>
                </c:pt>
                <c:pt idx="424">
                  <c:v>0.739583333333333</c:v>
                </c:pt>
                <c:pt idx="425">
                  <c:v>0.739930555555556</c:v>
                </c:pt>
                <c:pt idx="426">
                  <c:v>0.740277777777778</c:v>
                </c:pt>
                <c:pt idx="427">
                  <c:v>0.740625</c:v>
                </c:pt>
                <c:pt idx="428">
                  <c:v>0.740972222222222</c:v>
                </c:pt>
                <c:pt idx="429">
                  <c:v>0.741319444444444</c:v>
                </c:pt>
                <c:pt idx="430">
                  <c:v>0.741666666666667</c:v>
                </c:pt>
                <c:pt idx="431">
                  <c:v>0.742013888888889</c:v>
                </c:pt>
                <c:pt idx="432">
                  <c:v>0.742361111111111</c:v>
                </c:pt>
                <c:pt idx="433">
                  <c:v>0.742708333333333</c:v>
                </c:pt>
                <c:pt idx="434">
                  <c:v>0.743055555555556</c:v>
                </c:pt>
                <c:pt idx="435">
                  <c:v>0.743402777777778</c:v>
                </c:pt>
                <c:pt idx="436">
                  <c:v>0.74375</c:v>
                </c:pt>
                <c:pt idx="437">
                  <c:v>0.744097222222222</c:v>
                </c:pt>
                <c:pt idx="438">
                  <c:v>0.744444444444445</c:v>
                </c:pt>
                <c:pt idx="439">
                  <c:v>0.744791666666667</c:v>
                </c:pt>
                <c:pt idx="440">
                  <c:v>0.745138888888889</c:v>
                </c:pt>
                <c:pt idx="441">
                  <c:v>0.745486111111111</c:v>
                </c:pt>
              </c:numCache>
            </c:numRef>
          </c:xVal>
          <c:yVal>
            <c:numRef>
              <c:f>'Flight data'!$H$2:$H$443</c:f>
              <c:numCache>
                <c:formatCode>General</c:formatCode>
                <c:ptCount val="442"/>
                <c:pt idx="0">
                  <c:v>0</c:v>
                </c:pt>
                <c:pt idx="1">
                  <c:v>3.47</c:v>
                </c:pt>
                <c:pt idx="2">
                  <c:v>4.28</c:v>
                </c:pt>
                <c:pt idx="3">
                  <c:v>2.94</c:v>
                </c:pt>
                <c:pt idx="4">
                  <c:v>3.22</c:v>
                </c:pt>
                <c:pt idx="5">
                  <c:v>4.66</c:v>
                </c:pt>
                <c:pt idx="6">
                  <c:v>5.21</c:v>
                </c:pt>
                <c:pt idx="7">
                  <c:v>4.51</c:v>
                </c:pt>
                <c:pt idx="8">
                  <c:v>3.62</c:v>
                </c:pt>
                <c:pt idx="9">
                  <c:v>3.42</c:v>
                </c:pt>
                <c:pt idx="10">
                  <c:v>3.82</c:v>
                </c:pt>
                <c:pt idx="11">
                  <c:v>3.56</c:v>
                </c:pt>
                <c:pt idx="12">
                  <c:v>3.24</c:v>
                </c:pt>
                <c:pt idx="13">
                  <c:v>3.7</c:v>
                </c:pt>
                <c:pt idx="14">
                  <c:v>3.56</c:v>
                </c:pt>
                <c:pt idx="15">
                  <c:v>3.39</c:v>
                </c:pt>
                <c:pt idx="16">
                  <c:v>4.1</c:v>
                </c:pt>
                <c:pt idx="17">
                  <c:v>4.1</c:v>
                </c:pt>
                <c:pt idx="18">
                  <c:v>3.83</c:v>
                </c:pt>
                <c:pt idx="19">
                  <c:v>3.77</c:v>
                </c:pt>
                <c:pt idx="20">
                  <c:v>3.11</c:v>
                </c:pt>
                <c:pt idx="21">
                  <c:v>4.23</c:v>
                </c:pt>
                <c:pt idx="22">
                  <c:v>3.71</c:v>
                </c:pt>
                <c:pt idx="23">
                  <c:v>3.89</c:v>
                </c:pt>
                <c:pt idx="24">
                  <c:v>4.55</c:v>
                </c:pt>
                <c:pt idx="25">
                  <c:v>4.35</c:v>
                </c:pt>
                <c:pt idx="26">
                  <c:v>3.89</c:v>
                </c:pt>
                <c:pt idx="27">
                  <c:v>3.67</c:v>
                </c:pt>
                <c:pt idx="28">
                  <c:v>3.82</c:v>
                </c:pt>
                <c:pt idx="29">
                  <c:v>4.04</c:v>
                </c:pt>
                <c:pt idx="30">
                  <c:v>3.67</c:v>
                </c:pt>
                <c:pt idx="31">
                  <c:v>3.39</c:v>
                </c:pt>
                <c:pt idx="32">
                  <c:v>3.42</c:v>
                </c:pt>
                <c:pt idx="33">
                  <c:v>3.35</c:v>
                </c:pt>
                <c:pt idx="34">
                  <c:v>3.25</c:v>
                </c:pt>
                <c:pt idx="35">
                  <c:v>3.45</c:v>
                </c:pt>
                <c:pt idx="36">
                  <c:v>3.42</c:v>
                </c:pt>
                <c:pt idx="37">
                  <c:v>3.61</c:v>
                </c:pt>
                <c:pt idx="38">
                  <c:v>4.45</c:v>
                </c:pt>
                <c:pt idx="39">
                  <c:v>3.21</c:v>
                </c:pt>
                <c:pt idx="40">
                  <c:v>3.38</c:v>
                </c:pt>
                <c:pt idx="41">
                  <c:v>3.2</c:v>
                </c:pt>
                <c:pt idx="42">
                  <c:v>3.21</c:v>
                </c:pt>
                <c:pt idx="43">
                  <c:v>3.32</c:v>
                </c:pt>
                <c:pt idx="44">
                  <c:v>3.34</c:v>
                </c:pt>
                <c:pt idx="45">
                  <c:v>3.47</c:v>
                </c:pt>
                <c:pt idx="46">
                  <c:v>3.31</c:v>
                </c:pt>
                <c:pt idx="47">
                  <c:v>3.25</c:v>
                </c:pt>
                <c:pt idx="48">
                  <c:v>3.28</c:v>
                </c:pt>
                <c:pt idx="49">
                  <c:v>3.55</c:v>
                </c:pt>
                <c:pt idx="50">
                  <c:v>3.62</c:v>
                </c:pt>
                <c:pt idx="51">
                  <c:v>3.41</c:v>
                </c:pt>
                <c:pt idx="52">
                  <c:v>3.39</c:v>
                </c:pt>
                <c:pt idx="53">
                  <c:v>3.4</c:v>
                </c:pt>
                <c:pt idx="54">
                  <c:v>3.57</c:v>
                </c:pt>
                <c:pt idx="55">
                  <c:v>3.23</c:v>
                </c:pt>
                <c:pt idx="56">
                  <c:v>3.23</c:v>
                </c:pt>
                <c:pt idx="57">
                  <c:v>3.3</c:v>
                </c:pt>
                <c:pt idx="58">
                  <c:v>3.31</c:v>
                </c:pt>
                <c:pt idx="59">
                  <c:v>3.23</c:v>
                </c:pt>
                <c:pt idx="60">
                  <c:v>3.44</c:v>
                </c:pt>
                <c:pt idx="61">
                  <c:v>3.03</c:v>
                </c:pt>
                <c:pt idx="62">
                  <c:v>3.16</c:v>
                </c:pt>
                <c:pt idx="63">
                  <c:v>3.19</c:v>
                </c:pt>
                <c:pt idx="64">
                  <c:v>3.18</c:v>
                </c:pt>
                <c:pt idx="65">
                  <c:v>3.18</c:v>
                </c:pt>
                <c:pt idx="66">
                  <c:v>3.31</c:v>
                </c:pt>
                <c:pt idx="67">
                  <c:v>3.27</c:v>
                </c:pt>
                <c:pt idx="68">
                  <c:v>3.86</c:v>
                </c:pt>
                <c:pt idx="69">
                  <c:v>3.4</c:v>
                </c:pt>
                <c:pt idx="70">
                  <c:v>3.52</c:v>
                </c:pt>
                <c:pt idx="71">
                  <c:v>3.3</c:v>
                </c:pt>
                <c:pt idx="72">
                  <c:v>3.1</c:v>
                </c:pt>
                <c:pt idx="73">
                  <c:v>3.41</c:v>
                </c:pt>
                <c:pt idx="74">
                  <c:v>3.22</c:v>
                </c:pt>
                <c:pt idx="75">
                  <c:v>3.73</c:v>
                </c:pt>
                <c:pt idx="76">
                  <c:v>4.33</c:v>
                </c:pt>
                <c:pt idx="77">
                  <c:v>3.88</c:v>
                </c:pt>
                <c:pt idx="78">
                  <c:v>3.45</c:v>
                </c:pt>
                <c:pt idx="79">
                  <c:v>3.44</c:v>
                </c:pt>
                <c:pt idx="80">
                  <c:v>3.71</c:v>
                </c:pt>
                <c:pt idx="81">
                  <c:v>3.65</c:v>
                </c:pt>
                <c:pt idx="82">
                  <c:v>3.75</c:v>
                </c:pt>
                <c:pt idx="83">
                  <c:v>3.34</c:v>
                </c:pt>
                <c:pt idx="84">
                  <c:v>3.58</c:v>
                </c:pt>
                <c:pt idx="85">
                  <c:v>3.89</c:v>
                </c:pt>
                <c:pt idx="86">
                  <c:v>3.95</c:v>
                </c:pt>
                <c:pt idx="87">
                  <c:v>3.81</c:v>
                </c:pt>
                <c:pt idx="88">
                  <c:v>3.66</c:v>
                </c:pt>
                <c:pt idx="89">
                  <c:v>3.89</c:v>
                </c:pt>
                <c:pt idx="90">
                  <c:v>4.06</c:v>
                </c:pt>
                <c:pt idx="91">
                  <c:v>3.86</c:v>
                </c:pt>
                <c:pt idx="92">
                  <c:v>4.61</c:v>
                </c:pt>
                <c:pt idx="93">
                  <c:v>3.82</c:v>
                </c:pt>
                <c:pt idx="94">
                  <c:v>3.23</c:v>
                </c:pt>
                <c:pt idx="95">
                  <c:v>3.87</c:v>
                </c:pt>
                <c:pt idx="96">
                  <c:v>3.5</c:v>
                </c:pt>
                <c:pt idx="97">
                  <c:v>3.09</c:v>
                </c:pt>
                <c:pt idx="98">
                  <c:v>3.34</c:v>
                </c:pt>
                <c:pt idx="99">
                  <c:v>3.2</c:v>
                </c:pt>
                <c:pt idx="100">
                  <c:v>3.88</c:v>
                </c:pt>
                <c:pt idx="101">
                  <c:v>3.48</c:v>
                </c:pt>
                <c:pt idx="102">
                  <c:v>3.58</c:v>
                </c:pt>
                <c:pt idx="103">
                  <c:v>3.5</c:v>
                </c:pt>
                <c:pt idx="104">
                  <c:v>3.23</c:v>
                </c:pt>
                <c:pt idx="105">
                  <c:v>3.81</c:v>
                </c:pt>
                <c:pt idx="106">
                  <c:v>3.47</c:v>
                </c:pt>
                <c:pt idx="107">
                  <c:v>4.04</c:v>
                </c:pt>
                <c:pt idx="108">
                  <c:v>3.95</c:v>
                </c:pt>
                <c:pt idx="109">
                  <c:v>4</c:v>
                </c:pt>
                <c:pt idx="110">
                  <c:v>4.04</c:v>
                </c:pt>
                <c:pt idx="111">
                  <c:v>3.37</c:v>
                </c:pt>
                <c:pt idx="112">
                  <c:v>3.49</c:v>
                </c:pt>
                <c:pt idx="113">
                  <c:v>3.46</c:v>
                </c:pt>
                <c:pt idx="114">
                  <c:v>3.88</c:v>
                </c:pt>
                <c:pt idx="115">
                  <c:v>3.68</c:v>
                </c:pt>
                <c:pt idx="116">
                  <c:v>3.37</c:v>
                </c:pt>
                <c:pt idx="117">
                  <c:v>3.46</c:v>
                </c:pt>
                <c:pt idx="118">
                  <c:v>3.62</c:v>
                </c:pt>
                <c:pt idx="119">
                  <c:v>4.2</c:v>
                </c:pt>
                <c:pt idx="120">
                  <c:v>5.24</c:v>
                </c:pt>
                <c:pt idx="121">
                  <c:v>4.48</c:v>
                </c:pt>
                <c:pt idx="122">
                  <c:v>4.13</c:v>
                </c:pt>
                <c:pt idx="123">
                  <c:v>3.66</c:v>
                </c:pt>
                <c:pt idx="124">
                  <c:v>3.74</c:v>
                </c:pt>
                <c:pt idx="125">
                  <c:v>3.45</c:v>
                </c:pt>
                <c:pt idx="126">
                  <c:v>3.26</c:v>
                </c:pt>
                <c:pt idx="127">
                  <c:v>3.75</c:v>
                </c:pt>
                <c:pt idx="128">
                  <c:v>4.37</c:v>
                </c:pt>
                <c:pt idx="129">
                  <c:v>4.01</c:v>
                </c:pt>
                <c:pt idx="130">
                  <c:v>3.37</c:v>
                </c:pt>
                <c:pt idx="131">
                  <c:v>4.27</c:v>
                </c:pt>
                <c:pt idx="132">
                  <c:v>3.59</c:v>
                </c:pt>
                <c:pt idx="133">
                  <c:v>4.33</c:v>
                </c:pt>
                <c:pt idx="134">
                  <c:v>4.15</c:v>
                </c:pt>
                <c:pt idx="135">
                  <c:v>3.71</c:v>
                </c:pt>
                <c:pt idx="136">
                  <c:v>4</c:v>
                </c:pt>
                <c:pt idx="137">
                  <c:v>3.92</c:v>
                </c:pt>
                <c:pt idx="138">
                  <c:v>3.98</c:v>
                </c:pt>
                <c:pt idx="139">
                  <c:v>3.81</c:v>
                </c:pt>
                <c:pt idx="140">
                  <c:v>4.38</c:v>
                </c:pt>
                <c:pt idx="141">
                  <c:v>3.64</c:v>
                </c:pt>
                <c:pt idx="142">
                  <c:v>4.02</c:v>
                </c:pt>
                <c:pt idx="143">
                  <c:v>3.97</c:v>
                </c:pt>
                <c:pt idx="144">
                  <c:v>4.03</c:v>
                </c:pt>
                <c:pt idx="145">
                  <c:v>3.89</c:v>
                </c:pt>
                <c:pt idx="146">
                  <c:v>4.6</c:v>
                </c:pt>
                <c:pt idx="147">
                  <c:v>3.46</c:v>
                </c:pt>
                <c:pt idx="148">
                  <c:v>4.22</c:v>
                </c:pt>
                <c:pt idx="149">
                  <c:v>4.32</c:v>
                </c:pt>
                <c:pt idx="150">
                  <c:v>4.19</c:v>
                </c:pt>
                <c:pt idx="151">
                  <c:v>4.39</c:v>
                </c:pt>
                <c:pt idx="152">
                  <c:v>4.13</c:v>
                </c:pt>
                <c:pt idx="153">
                  <c:v>4.46</c:v>
                </c:pt>
                <c:pt idx="154">
                  <c:v>4.17</c:v>
                </c:pt>
                <c:pt idx="155">
                  <c:v>4.43</c:v>
                </c:pt>
                <c:pt idx="156">
                  <c:v>4.51</c:v>
                </c:pt>
                <c:pt idx="157">
                  <c:v>4.19</c:v>
                </c:pt>
                <c:pt idx="158">
                  <c:v>4.16</c:v>
                </c:pt>
                <c:pt idx="159">
                  <c:v>4.07</c:v>
                </c:pt>
                <c:pt idx="160">
                  <c:v>4.33</c:v>
                </c:pt>
                <c:pt idx="161">
                  <c:v>4.21</c:v>
                </c:pt>
                <c:pt idx="162">
                  <c:v>4.46</c:v>
                </c:pt>
                <c:pt idx="163">
                  <c:v>4.18</c:v>
                </c:pt>
                <c:pt idx="164">
                  <c:v>4.01</c:v>
                </c:pt>
                <c:pt idx="165">
                  <c:v>4.28</c:v>
                </c:pt>
                <c:pt idx="166">
                  <c:v>4.11</c:v>
                </c:pt>
                <c:pt idx="167">
                  <c:v>4.4</c:v>
                </c:pt>
                <c:pt idx="168">
                  <c:v>4.57</c:v>
                </c:pt>
                <c:pt idx="169">
                  <c:v>3.83</c:v>
                </c:pt>
                <c:pt idx="170">
                  <c:v>3.83</c:v>
                </c:pt>
                <c:pt idx="171">
                  <c:v>4.4</c:v>
                </c:pt>
                <c:pt idx="172">
                  <c:v>4.69</c:v>
                </c:pt>
                <c:pt idx="173">
                  <c:v>4.43</c:v>
                </c:pt>
                <c:pt idx="174">
                  <c:v>4.35</c:v>
                </c:pt>
                <c:pt idx="175">
                  <c:v>4.13</c:v>
                </c:pt>
                <c:pt idx="176">
                  <c:v>4.08</c:v>
                </c:pt>
                <c:pt idx="177">
                  <c:v>5.36</c:v>
                </c:pt>
                <c:pt idx="178">
                  <c:v>4.88</c:v>
                </c:pt>
                <c:pt idx="179">
                  <c:v>4.24</c:v>
                </c:pt>
                <c:pt idx="180">
                  <c:v>4.43</c:v>
                </c:pt>
                <c:pt idx="181">
                  <c:v>4.96</c:v>
                </c:pt>
                <c:pt idx="182">
                  <c:v>4.79</c:v>
                </c:pt>
                <c:pt idx="183">
                  <c:v>3.99</c:v>
                </c:pt>
                <c:pt idx="184">
                  <c:v>4.2</c:v>
                </c:pt>
                <c:pt idx="185">
                  <c:v>4.78</c:v>
                </c:pt>
                <c:pt idx="186">
                  <c:v>4.42</c:v>
                </c:pt>
                <c:pt idx="187">
                  <c:v>3.95</c:v>
                </c:pt>
                <c:pt idx="188">
                  <c:v>4.38</c:v>
                </c:pt>
                <c:pt idx="189">
                  <c:v>4.62</c:v>
                </c:pt>
                <c:pt idx="190">
                  <c:v>4.72</c:v>
                </c:pt>
                <c:pt idx="191">
                  <c:v>4.15</c:v>
                </c:pt>
                <c:pt idx="192">
                  <c:v>4.92</c:v>
                </c:pt>
                <c:pt idx="193">
                  <c:v>4.42</c:v>
                </c:pt>
                <c:pt idx="194">
                  <c:v>4.29</c:v>
                </c:pt>
                <c:pt idx="195">
                  <c:v>4.34</c:v>
                </c:pt>
                <c:pt idx="196">
                  <c:v>4.18</c:v>
                </c:pt>
                <c:pt idx="197">
                  <c:v>5.09</c:v>
                </c:pt>
                <c:pt idx="198">
                  <c:v>4.09</c:v>
                </c:pt>
                <c:pt idx="199">
                  <c:v>4.23</c:v>
                </c:pt>
                <c:pt idx="200">
                  <c:v>4.98</c:v>
                </c:pt>
                <c:pt idx="201">
                  <c:v>5.08</c:v>
                </c:pt>
                <c:pt idx="202">
                  <c:v>4.61</c:v>
                </c:pt>
                <c:pt idx="203">
                  <c:v>5.26</c:v>
                </c:pt>
                <c:pt idx="204">
                  <c:v>4.61</c:v>
                </c:pt>
                <c:pt idx="205">
                  <c:v>5</c:v>
                </c:pt>
                <c:pt idx="206">
                  <c:v>4.65</c:v>
                </c:pt>
                <c:pt idx="207">
                  <c:v>4.88</c:v>
                </c:pt>
                <c:pt idx="208">
                  <c:v>4.37</c:v>
                </c:pt>
                <c:pt idx="209">
                  <c:v>5.07</c:v>
                </c:pt>
                <c:pt idx="210">
                  <c:v>4.62</c:v>
                </c:pt>
                <c:pt idx="211">
                  <c:v>4.63</c:v>
                </c:pt>
                <c:pt idx="212">
                  <c:v>3.91</c:v>
                </c:pt>
                <c:pt idx="213">
                  <c:v>4.95</c:v>
                </c:pt>
                <c:pt idx="214">
                  <c:v>5</c:v>
                </c:pt>
                <c:pt idx="215">
                  <c:v>4.5</c:v>
                </c:pt>
                <c:pt idx="216">
                  <c:v>5.25</c:v>
                </c:pt>
                <c:pt idx="217">
                  <c:v>4.47</c:v>
                </c:pt>
                <c:pt idx="218">
                  <c:v>5.79</c:v>
                </c:pt>
                <c:pt idx="219">
                  <c:v>5.03</c:v>
                </c:pt>
                <c:pt idx="220">
                  <c:v>5.13</c:v>
                </c:pt>
                <c:pt idx="221">
                  <c:v>4.5</c:v>
                </c:pt>
                <c:pt idx="222">
                  <c:v>4.62</c:v>
                </c:pt>
                <c:pt idx="223">
                  <c:v>5.02</c:v>
                </c:pt>
                <c:pt idx="224">
                  <c:v>5.02</c:v>
                </c:pt>
                <c:pt idx="225">
                  <c:v>4.59</c:v>
                </c:pt>
                <c:pt idx="226">
                  <c:v>5.8</c:v>
                </c:pt>
                <c:pt idx="227">
                  <c:v>4.39</c:v>
                </c:pt>
                <c:pt idx="228">
                  <c:v>5.07</c:v>
                </c:pt>
                <c:pt idx="229">
                  <c:v>5.17</c:v>
                </c:pt>
                <c:pt idx="230">
                  <c:v>5.4</c:v>
                </c:pt>
                <c:pt idx="231">
                  <c:v>4.59</c:v>
                </c:pt>
                <c:pt idx="232">
                  <c:v>4.71</c:v>
                </c:pt>
                <c:pt idx="233">
                  <c:v>4.98</c:v>
                </c:pt>
                <c:pt idx="234">
                  <c:v>5.53</c:v>
                </c:pt>
                <c:pt idx="235">
                  <c:v>5.91</c:v>
                </c:pt>
                <c:pt idx="236">
                  <c:v>4.8</c:v>
                </c:pt>
                <c:pt idx="237">
                  <c:v>5.03</c:v>
                </c:pt>
                <c:pt idx="238">
                  <c:v>5.25</c:v>
                </c:pt>
                <c:pt idx="239">
                  <c:v>5.3</c:v>
                </c:pt>
                <c:pt idx="240">
                  <c:v>4.59</c:v>
                </c:pt>
                <c:pt idx="241">
                  <c:v>5.38</c:v>
                </c:pt>
                <c:pt idx="242">
                  <c:v>5.39</c:v>
                </c:pt>
                <c:pt idx="243">
                  <c:v>5.65</c:v>
                </c:pt>
                <c:pt idx="244">
                  <c:v>5.75</c:v>
                </c:pt>
                <c:pt idx="245">
                  <c:v>5.21</c:v>
                </c:pt>
                <c:pt idx="246">
                  <c:v>5.16</c:v>
                </c:pt>
                <c:pt idx="247">
                  <c:v>5.55</c:v>
                </c:pt>
                <c:pt idx="248">
                  <c:v>4.86</c:v>
                </c:pt>
                <c:pt idx="249">
                  <c:v>5.17</c:v>
                </c:pt>
                <c:pt idx="250">
                  <c:v>4.89</c:v>
                </c:pt>
                <c:pt idx="251">
                  <c:v>5.54</c:v>
                </c:pt>
                <c:pt idx="252">
                  <c:v>5.2</c:v>
                </c:pt>
                <c:pt idx="253">
                  <c:v>5.7</c:v>
                </c:pt>
                <c:pt idx="254">
                  <c:v>5.37</c:v>
                </c:pt>
                <c:pt idx="255">
                  <c:v>5.21</c:v>
                </c:pt>
                <c:pt idx="256">
                  <c:v>4.61</c:v>
                </c:pt>
                <c:pt idx="257">
                  <c:v>4.79</c:v>
                </c:pt>
                <c:pt idx="258">
                  <c:v>4.9</c:v>
                </c:pt>
                <c:pt idx="259">
                  <c:v>5.21</c:v>
                </c:pt>
                <c:pt idx="260">
                  <c:v>5.24</c:v>
                </c:pt>
                <c:pt idx="261">
                  <c:v>5.49</c:v>
                </c:pt>
                <c:pt idx="262">
                  <c:v>5.39</c:v>
                </c:pt>
                <c:pt idx="263">
                  <c:v>5.4</c:v>
                </c:pt>
                <c:pt idx="264">
                  <c:v>4.96</c:v>
                </c:pt>
                <c:pt idx="265">
                  <c:v>5.12</c:v>
                </c:pt>
                <c:pt idx="266">
                  <c:v>5.11</c:v>
                </c:pt>
                <c:pt idx="267">
                  <c:v>5</c:v>
                </c:pt>
                <c:pt idx="268">
                  <c:v>5.02</c:v>
                </c:pt>
                <c:pt idx="269">
                  <c:v>4.78</c:v>
                </c:pt>
                <c:pt idx="270">
                  <c:v>5.03</c:v>
                </c:pt>
                <c:pt idx="271">
                  <c:v>5.04</c:v>
                </c:pt>
                <c:pt idx="272">
                  <c:v>4.88</c:v>
                </c:pt>
                <c:pt idx="273">
                  <c:v>5.02</c:v>
                </c:pt>
                <c:pt idx="274">
                  <c:v>4.75</c:v>
                </c:pt>
                <c:pt idx="275">
                  <c:v>4.74</c:v>
                </c:pt>
                <c:pt idx="276">
                  <c:v>4.88</c:v>
                </c:pt>
                <c:pt idx="277">
                  <c:v>4.78</c:v>
                </c:pt>
                <c:pt idx="278">
                  <c:v>4.78</c:v>
                </c:pt>
                <c:pt idx="279">
                  <c:v>4.54</c:v>
                </c:pt>
                <c:pt idx="280">
                  <c:v>4.37</c:v>
                </c:pt>
                <c:pt idx="281">
                  <c:v>4.41</c:v>
                </c:pt>
                <c:pt idx="282">
                  <c:v>4.21</c:v>
                </c:pt>
                <c:pt idx="283">
                  <c:v>4.2</c:v>
                </c:pt>
                <c:pt idx="284">
                  <c:v>4.59</c:v>
                </c:pt>
                <c:pt idx="285">
                  <c:v>4.41</c:v>
                </c:pt>
                <c:pt idx="286">
                  <c:v>4.54</c:v>
                </c:pt>
                <c:pt idx="287">
                  <c:v>4.99</c:v>
                </c:pt>
                <c:pt idx="288">
                  <c:v>4.89</c:v>
                </c:pt>
                <c:pt idx="289">
                  <c:v>4.44</c:v>
                </c:pt>
                <c:pt idx="290">
                  <c:v>4.23</c:v>
                </c:pt>
                <c:pt idx="291">
                  <c:v>4.45</c:v>
                </c:pt>
                <c:pt idx="292">
                  <c:v>4.35</c:v>
                </c:pt>
                <c:pt idx="293">
                  <c:v>4.38</c:v>
                </c:pt>
                <c:pt idx="294">
                  <c:v>4.26</c:v>
                </c:pt>
                <c:pt idx="295">
                  <c:v>4.36</c:v>
                </c:pt>
                <c:pt idx="296">
                  <c:v>4.3</c:v>
                </c:pt>
                <c:pt idx="297">
                  <c:v>4.09</c:v>
                </c:pt>
                <c:pt idx="298">
                  <c:v>3.95</c:v>
                </c:pt>
                <c:pt idx="299">
                  <c:v>3.25</c:v>
                </c:pt>
                <c:pt idx="300">
                  <c:v>-35.8</c:v>
                </c:pt>
                <c:pt idx="301">
                  <c:v>-50.1</c:v>
                </c:pt>
                <c:pt idx="302">
                  <c:v>-43.7</c:v>
                </c:pt>
                <c:pt idx="303">
                  <c:v>-37.6</c:v>
                </c:pt>
                <c:pt idx="304">
                  <c:v>-35.7</c:v>
                </c:pt>
                <c:pt idx="305">
                  <c:v>-34.1</c:v>
                </c:pt>
                <c:pt idx="306">
                  <c:v>-31.1</c:v>
                </c:pt>
                <c:pt idx="307">
                  <c:v>-28.7</c:v>
                </c:pt>
                <c:pt idx="308">
                  <c:v>-27.6</c:v>
                </c:pt>
                <c:pt idx="309">
                  <c:v>-25.8</c:v>
                </c:pt>
                <c:pt idx="310">
                  <c:v>-24</c:v>
                </c:pt>
                <c:pt idx="311">
                  <c:v>-22.5</c:v>
                </c:pt>
                <c:pt idx="312">
                  <c:v>-21.2</c:v>
                </c:pt>
                <c:pt idx="313">
                  <c:v>-20.4</c:v>
                </c:pt>
                <c:pt idx="314">
                  <c:v>-19.2</c:v>
                </c:pt>
                <c:pt idx="315">
                  <c:v>-18.6</c:v>
                </c:pt>
                <c:pt idx="316">
                  <c:v>-17.6</c:v>
                </c:pt>
                <c:pt idx="317">
                  <c:v>-16.8</c:v>
                </c:pt>
                <c:pt idx="318">
                  <c:v>-15.8</c:v>
                </c:pt>
                <c:pt idx="319">
                  <c:v>-15.6</c:v>
                </c:pt>
                <c:pt idx="320">
                  <c:v>-14.9</c:v>
                </c:pt>
                <c:pt idx="321">
                  <c:v>-14.5</c:v>
                </c:pt>
                <c:pt idx="322">
                  <c:v>-13.7</c:v>
                </c:pt>
                <c:pt idx="323">
                  <c:v>-13.5</c:v>
                </c:pt>
                <c:pt idx="324">
                  <c:v>-12.9</c:v>
                </c:pt>
                <c:pt idx="325">
                  <c:v>-12.7</c:v>
                </c:pt>
                <c:pt idx="326">
                  <c:v>-11.5</c:v>
                </c:pt>
                <c:pt idx="327">
                  <c:v>-10.8</c:v>
                </c:pt>
                <c:pt idx="328">
                  <c:v>-10.9</c:v>
                </c:pt>
                <c:pt idx="329">
                  <c:v>-10.3</c:v>
                </c:pt>
                <c:pt idx="330">
                  <c:v>-10.2</c:v>
                </c:pt>
                <c:pt idx="331">
                  <c:v>-9.6</c:v>
                </c:pt>
                <c:pt idx="332">
                  <c:v>-8.45</c:v>
                </c:pt>
                <c:pt idx="333">
                  <c:v>-8.17</c:v>
                </c:pt>
                <c:pt idx="334">
                  <c:v>-8.19</c:v>
                </c:pt>
                <c:pt idx="335">
                  <c:v>-9.29</c:v>
                </c:pt>
                <c:pt idx="336">
                  <c:v>-8.89</c:v>
                </c:pt>
                <c:pt idx="337">
                  <c:v>-9.23</c:v>
                </c:pt>
                <c:pt idx="338">
                  <c:v>-10.8</c:v>
                </c:pt>
                <c:pt idx="339">
                  <c:v>-10.5</c:v>
                </c:pt>
                <c:pt idx="340">
                  <c:v>-10.6</c:v>
                </c:pt>
                <c:pt idx="341">
                  <c:v>-10.2</c:v>
                </c:pt>
                <c:pt idx="342">
                  <c:v>-9.91</c:v>
                </c:pt>
                <c:pt idx="343">
                  <c:v>-9.78</c:v>
                </c:pt>
                <c:pt idx="344">
                  <c:v>-9.25</c:v>
                </c:pt>
                <c:pt idx="345">
                  <c:v>-9.05</c:v>
                </c:pt>
                <c:pt idx="346">
                  <c:v>-9.11</c:v>
                </c:pt>
                <c:pt idx="347">
                  <c:v>-8.73</c:v>
                </c:pt>
                <c:pt idx="348">
                  <c:v>-8.5</c:v>
                </c:pt>
                <c:pt idx="349">
                  <c:v>-8.45</c:v>
                </c:pt>
                <c:pt idx="350">
                  <c:v>-8.2</c:v>
                </c:pt>
                <c:pt idx="351">
                  <c:v>-8.22</c:v>
                </c:pt>
                <c:pt idx="352">
                  <c:v>-8.08</c:v>
                </c:pt>
                <c:pt idx="353">
                  <c:v>-7.93</c:v>
                </c:pt>
                <c:pt idx="354">
                  <c:v>-7.74</c:v>
                </c:pt>
                <c:pt idx="355">
                  <c:v>-7.71</c:v>
                </c:pt>
                <c:pt idx="356">
                  <c:v>-7.63</c:v>
                </c:pt>
                <c:pt idx="357">
                  <c:v>-7.45</c:v>
                </c:pt>
                <c:pt idx="358">
                  <c:v>-7.16</c:v>
                </c:pt>
                <c:pt idx="359">
                  <c:v>-7</c:v>
                </c:pt>
                <c:pt idx="360">
                  <c:v>-6.73</c:v>
                </c:pt>
                <c:pt idx="361">
                  <c:v>-6.89</c:v>
                </c:pt>
                <c:pt idx="362">
                  <c:v>-6.81</c:v>
                </c:pt>
                <c:pt idx="363">
                  <c:v>-6.77</c:v>
                </c:pt>
                <c:pt idx="364">
                  <c:v>-6.45</c:v>
                </c:pt>
                <c:pt idx="365">
                  <c:v>-6.58</c:v>
                </c:pt>
                <c:pt idx="366">
                  <c:v>-6.47</c:v>
                </c:pt>
                <c:pt idx="367">
                  <c:v>-6.23</c:v>
                </c:pt>
                <c:pt idx="368">
                  <c:v>-6.2</c:v>
                </c:pt>
                <c:pt idx="369">
                  <c:v>-6.04</c:v>
                </c:pt>
                <c:pt idx="370">
                  <c:v>-6.05</c:v>
                </c:pt>
                <c:pt idx="371">
                  <c:v>-5.92</c:v>
                </c:pt>
                <c:pt idx="372">
                  <c:v>-5.79</c:v>
                </c:pt>
                <c:pt idx="373">
                  <c:v>-5.65</c:v>
                </c:pt>
                <c:pt idx="374">
                  <c:v>-5.46</c:v>
                </c:pt>
                <c:pt idx="375">
                  <c:v>-5.39</c:v>
                </c:pt>
                <c:pt idx="376">
                  <c:v>-5.34</c:v>
                </c:pt>
                <c:pt idx="377">
                  <c:v>-5.18</c:v>
                </c:pt>
                <c:pt idx="378">
                  <c:v>-5.17</c:v>
                </c:pt>
                <c:pt idx="379">
                  <c:v>-5.03</c:v>
                </c:pt>
                <c:pt idx="380">
                  <c:v>-5.04</c:v>
                </c:pt>
                <c:pt idx="381">
                  <c:v>-4.93</c:v>
                </c:pt>
                <c:pt idx="382">
                  <c:v>-4.94</c:v>
                </c:pt>
                <c:pt idx="383">
                  <c:v>-4.56</c:v>
                </c:pt>
                <c:pt idx="384">
                  <c:v>-4.78</c:v>
                </c:pt>
                <c:pt idx="385">
                  <c:v>-4.59</c:v>
                </c:pt>
                <c:pt idx="386">
                  <c:v>-4.51</c:v>
                </c:pt>
                <c:pt idx="387">
                  <c:v>-4.6</c:v>
                </c:pt>
                <c:pt idx="388">
                  <c:v>-4.53</c:v>
                </c:pt>
                <c:pt idx="389">
                  <c:v>-4.18</c:v>
                </c:pt>
                <c:pt idx="390">
                  <c:v>-4.15</c:v>
                </c:pt>
                <c:pt idx="391">
                  <c:v>-3.82</c:v>
                </c:pt>
                <c:pt idx="392">
                  <c:v>-3.8</c:v>
                </c:pt>
                <c:pt idx="393">
                  <c:v>-3.56</c:v>
                </c:pt>
                <c:pt idx="394">
                  <c:v>-3.25</c:v>
                </c:pt>
                <c:pt idx="395">
                  <c:v>-3.3</c:v>
                </c:pt>
                <c:pt idx="396">
                  <c:v>-3.29</c:v>
                </c:pt>
                <c:pt idx="397">
                  <c:v>-3.25</c:v>
                </c:pt>
                <c:pt idx="398">
                  <c:v>-3.23</c:v>
                </c:pt>
                <c:pt idx="399">
                  <c:v>-3.39</c:v>
                </c:pt>
                <c:pt idx="400">
                  <c:v>-3.47</c:v>
                </c:pt>
                <c:pt idx="401">
                  <c:v>-3.5</c:v>
                </c:pt>
                <c:pt idx="402">
                  <c:v>-3.47</c:v>
                </c:pt>
                <c:pt idx="403">
                  <c:v>-3.58</c:v>
                </c:pt>
                <c:pt idx="404">
                  <c:v>-3.61</c:v>
                </c:pt>
                <c:pt idx="405">
                  <c:v>-3.53</c:v>
                </c:pt>
                <c:pt idx="406">
                  <c:v>-3.49</c:v>
                </c:pt>
                <c:pt idx="407">
                  <c:v>-3.53</c:v>
                </c:pt>
                <c:pt idx="408">
                  <c:v>-3.61</c:v>
                </c:pt>
                <c:pt idx="409">
                  <c:v>-3.58</c:v>
                </c:pt>
                <c:pt idx="410">
                  <c:v>-3.6</c:v>
                </c:pt>
                <c:pt idx="411">
                  <c:v>-3.73</c:v>
                </c:pt>
                <c:pt idx="412">
                  <c:v>-3.76</c:v>
                </c:pt>
                <c:pt idx="413">
                  <c:v>-3.66</c:v>
                </c:pt>
                <c:pt idx="414">
                  <c:v>-3.55</c:v>
                </c:pt>
                <c:pt idx="415">
                  <c:v>-3.56</c:v>
                </c:pt>
                <c:pt idx="416">
                  <c:v>-3.5</c:v>
                </c:pt>
                <c:pt idx="417">
                  <c:v>-3.34</c:v>
                </c:pt>
                <c:pt idx="418">
                  <c:v>-3.16</c:v>
                </c:pt>
                <c:pt idx="419">
                  <c:v>-2.95</c:v>
                </c:pt>
                <c:pt idx="420">
                  <c:v>-2.85</c:v>
                </c:pt>
                <c:pt idx="421">
                  <c:v>-2.99</c:v>
                </c:pt>
                <c:pt idx="422">
                  <c:v>-3.1</c:v>
                </c:pt>
                <c:pt idx="423">
                  <c:v>-3.29</c:v>
                </c:pt>
                <c:pt idx="424">
                  <c:v>-3.44</c:v>
                </c:pt>
                <c:pt idx="425">
                  <c:v>-3.47</c:v>
                </c:pt>
                <c:pt idx="426">
                  <c:v>-3.44</c:v>
                </c:pt>
                <c:pt idx="427">
                  <c:v>-3.42</c:v>
                </c:pt>
                <c:pt idx="428">
                  <c:v>-3.49</c:v>
                </c:pt>
                <c:pt idx="429">
                  <c:v>-3.59</c:v>
                </c:pt>
                <c:pt idx="430">
                  <c:v>-3.48</c:v>
                </c:pt>
                <c:pt idx="431">
                  <c:v>-3.27</c:v>
                </c:pt>
                <c:pt idx="432">
                  <c:v>-3.27</c:v>
                </c:pt>
                <c:pt idx="433">
                  <c:v>-3.08</c:v>
                </c:pt>
                <c:pt idx="434">
                  <c:v>-3.07</c:v>
                </c:pt>
                <c:pt idx="435">
                  <c:v>-3.2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</c:numCache>
            </c:numRef>
          </c:yVal>
          <c:smooth val="0"/>
        </c:ser>
        <c:axId val="63403882"/>
        <c:axId val="29673322"/>
      </c:scatterChart>
      <c:valAx>
        <c:axId val="13127286"/>
        <c:scaling>
          <c:orientation val="minMax"/>
          <c:max val="0.745486111111111"/>
          <c:min val="0.592361111111111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minorGridlines>
          <c:spPr>
            <a:ln w="0">
              <a:solidFill>
                <a:srgbClr val="DDDDDD"/>
              </a:solidFill>
            </a:ln>
          </c:spPr>
        </c:min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Time hh:mm:ss</a:t>
                </a:r>
              </a:p>
            </c:rich>
          </c:tx>
          <c:layout>
            <c:manualLayout>
              <c:xMode val="edge"/>
              <c:yMode val="edge"/>
              <c:x val="0.455939712954898"/>
              <c:y val="0.958595957400565"/>
            </c:manualLayout>
          </c:layout>
          <c:overlay val="0"/>
          <c:spPr>
            <a:noFill/>
            <a:ln w="0">
              <a:noFill/>
            </a:ln>
          </c:spPr>
        </c:title>
        <c:numFmt formatCode="hh:mm:ss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16605485"/>
        <c:crosses val="autoZero"/>
        <c:crossBetween val="midCat"/>
        <c:majorUnit val="0.00694444444444444"/>
      </c:valAx>
      <c:valAx>
        <c:axId val="1660548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minorGridlines>
          <c:spPr>
            <a:ln w="0">
              <a:solidFill>
                <a:srgbClr val="DDDDDD"/>
              </a:solidFill>
            </a:ln>
          </c:spPr>
        </c:min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Altitude (m)</a:t>
                </a:r>
              </a:p>
            </c:rich>
          </c:tx>
          <c:layout>
            <c:manualLayout>
              <c:xMode val="edge"/>
              <c:yMode val="edge"/>
              <c:x val="0.000946718673079108"/>
              <c:y val="0.470386872419039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13127286"/>
        <c:crosses val="autoZero"/>
        <c:crossBetween val="midCat"/>
      </c:valAx>
      <c:valAx>
        <c:axId val="63403882"/>
        <c:scaling>
          <c:orientation val="minMax"/>
        </c:scaling>
        <c:delete val="1"/>
        <c:axPos val="t"/>
        <c:numFmt formatCode="hh:mm:ss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29673322"/>
        <c:crossBetween val="midCat"/>
      </c:valAx>
      <c:valAx>
        <c:axId val="29673322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Speed (m/s)</a:t>
                </a:r>
              </a:p>
            </c:rich>
          </c:tx>
          <c:layout>
            <c:manualLayout>
              <c:xMode val="edge"/>
              <c:yMode val="edge"/>
              <c:x val="0.968341727572235"/>
              <c:y val="0.47310367311454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63403882"/>
        <c:crosses val="max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19893865953535"/>
          <c:y val="0.293926187455177"/>
          <c:w val="0.160120340966071"/>
          <c:h val="0.114139129475368"/>
        </c:manualLayout>
      </c:layout>
      <c:overlay val="0"/>
      <c:spPr>
        <a:solidFill>
          <a:srgbClr val="FDE9A9"/>
        </a:solidFill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Temperature inside payload and battery voltage plot vs flight time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IRM balloon flight 27/9/2026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86999962438493"/>
          <c:y val="0.122628309173336"/>
          <c:w val="0.84351876197273"/>
          <c:h val="0.741086920020149"/>
        </c:manualLayout>
      </c:layout>
      <c:scatterChart>
        <c:scatterStyle val="line"/>
        <c:varyColors val="0"/>
        <c:ser>
          <c:idx val="0"/>
          <c:order val="0"/>
          <c:tx>
            <c:strRef>
              <c:f>"Battery temperature"</c:f>
              <c:strCache>
                <c:ptCount val="1"/>
                <c:pt idx="0">
                  <c:v>Battery temperature</c:v>
                </c:pt>
              </c:strCache>
            </c:strRef>
          </c:tx>
          <c:spPr>
            <a:solidFill>
              <a:srgbClr val="FF420E"/>
            </a:solidFill>
            <a:ln w="144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44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'Flight data'!$A$2:$A$443</c:f>
              <c:numCache>
                <c:formatCode>hh:mm:ss</c:formatCode>
                <c:ptCount val="442"/>
                <c:pt idx="0">
                  <c:v>0.592361111111111</c:v>
                </c:pt>
                <c:pt idx="1">
                  <c:v>0.592708333333333</c:v>
                </c:pt>
                <c:pt idx="2">
                  <c:v>0.593055555555556</c:v>
                </c:pt>
                <c:pt idx="3">
                  <c:v>0.593402777777778</c:v>
                </c:pt>
                <c:pt idx="4">
                  <c:v>0.59375</c:v>
                </c:pt>
                <c:pt idx="5">
                  <c:v>0.594097222222222</c:v>
                </c:pt>
                <c:pt idx="6">
                  <c:v>0.594444444444444</c:v>
                </c:pt>
                <c:pt idx="7">
                  <c:v>0.594791666666667</c:v>
                </c:pt>
                <c:pt idx="8">
                  <c:v>0.595138888888889</c:v>
                </c:pt>
                <c:pt idx="9">
                  <c:v>0.595486111111111</c:v>
                </c:pt>
                <c:pt idx="10">
                  <c:v>0.595833333333333</c:v>
                </c:pt>
                <c:pt idx="11">
                  <c:v>0.596180555555556</c:v>
                </c:pt>
                <c:pt idx="12">
                  <c:v>0.596527777777778</c:v>
                </c:pt>
                <c:pt idx="13">
                  <c:v>0.596875</c:v>
                </c:pt>
                <c:pt idx="14">
                  <c:v>0.597222222222222</c:v>
                </c:pt>
                <c:pt idx="15">
                  <c:v>0.597569444444445</c:v>
                </c:pt>
                <c:pt idx="16">
                  <c:v>0.597916666666667</c:v>
                </c:pt>
                <c:pt idx="17">
                  <c:v>0.598263888888889</c:v>
                </c:pt>
                <c:pt idx="18">
                  <c:v>0.598611111111111</c:v>
                </c:pt>
                <c:pt idx="19">
                  <c:v>0.598958333333333</c:v>
                </c:pt>
                <c:pt idx="20">
                  <c:v>0.599305555555556</c:v>
                </c:pt>
                <c:pt idx="21">
                  <c:v>0.599652777777778</c:v>
                </c:pt>
                <c:pt idx="22">
                  <c:v>0.6</c:v>
                </c:pt>
                <c:pt idx="23">
                  <c:v>0.600347222222222</c:v>
                </c:pt>
                <c:pt idx="24">
                  <c:v>0.600694444444444</c:v>
                </c:pt>
                <c:pt idx="25">
                  <c:v>0.601041666666667</c:v>
                </c:pt>
                <c:pt idx="26">
                  <c:v>0.601388888888889</c:v>
                </c:pt>
                <c:pt idx="27">
                  <c:v>0.601736111111111</c:v>
                </c:pt>
                <c:pt idx="28">
                  <c:v>0.602083333333333</c:v>
                </c:pt>
                <c:pt idx="29">
                  <c:v>0.602430555555556</c:v>
                </c:pt>
                <c:pt idx="30">
                  <c:v>0.602777777777778</c:v>
                </c:pt>
                <c:pt idx="31">
                  <c:v>0.603125</c:v>
                </c:pt>
                <c:pt idx="32">
                  <c:v>0.603472222222222</c:v>
                </c:pt>
                <c:pt idx="33">
                  <c:v>0.603819444444445</c:v>
                </c:pt>
                <c:pt idx="34">
                  <c:v>0.604166666666667</c:v>
                </c:pt>
                <c:pt idx="35">
                  <c:v>0.604513888888889</c:v>
                </c:pt>
                <c:pt idx="36">
                  <c:v>0.604861111111111</c:v>
                </c:pt>
                <c:pt idx="37">
                  <c:v>0.605208333333333</c:v>
                </c:pt>
                <c:pt idx="38">
                  <c:v>0.605555555555556</c:v>
                </c:pt>
                <c:pt idx="39">
                  <c:v>0.605902777777778</c:v>
                </c:pt>
                <c:pt idx="40">
                  <c:v>0.60625</c:v>
                </c:pt>
                <c:pt idx="41">
                  <c:v>0.606597222222222</c:v>
                </c:pt>
                <c:pt idx="42">
                  <c:v>0.606944444444444</c:v>
                </c:pt>
                <c:pt idx="43">
                  <c:v>0.607291666666667</c:v>
                </c:pt>
                <c:pt idx="44">
                  <c:v>0.607638888888889</c:v>
                </c:pt>
                <c:pt idx="45">
                  <c:v>0.607986111111111</c:v>
                </c:pt>
                <c:pt idx="46">
                  <c:v>0.608333333333333</c:v>
                </c:pt>
                <c:pt idx="47">
                  <c:v>0.608680555555556</c:v>
                </c:pt>
                <c:pt idx="48">
                  <c:v>0.609027777777778</c:v>
                </c:pt>
                <c:pt idx="49">
                  <c:v>0.609375</c:v>
                </c:pt>
                <c:pt idx="50">
                  <c:v>0.609722222222222</c:v>
                </c:pt>
                <c:pt idx="51">
                  <c:v>0.610069444444444</c:v>
                </c:pt>
                <c:pt idx="52">
                  <c:v>0.610416666666667</c:v>
                </c:pt>
                <c:pt idx="53">
                  <c:v>0.610763888888889</c:v>
                </c:pt>
                <c:pt idx="54">
                  <c:v>0.611111111111111</c:v>
                </c:pt>
                <c:pt idx="55">
                  <c:v>0.611458333333333</c:v>
                </c:pt>
                <c:pt idx="56">
                  <c:v>0.611805555555556</c:v>
                </c:pt>
                <c:pt idx="57">
                  <c:v>0.612152777777778</c:v>
                </c:pt>
                <c:pt idx="58">
                  <c:v>0.6125</c:v>
                </c:pt>
                <c:pt idx="59">
                  <c:v>0.612847222222222</c:v>
                </c:pt>
                <c:pt idx="60">
                  <c:v>0.613194444444445</c:v>
                </c:pt>
                <c:pt idx="61">
                  <c:v>0.613541666666667</c:v>
                </c:pt>
                <c:pt idx="62">
                  <c:v>0.613888888888889</c:v>
                </c:pt>
                <c:pt idx="63">
                  <c:v>0.614236111111111</c:v>
                </c:pt>
                <c:pt idx="64">
                  <c:v>0.614583333333333</c:v>
                </c:pt>
                <c:pt idx="65">
                  <c:v>0.614930555555556</c:v>
                </c:pt>
                <c:pt idx="66">
                  <c:v>0.615277777777778</c:v>
                </c:pt>
                <c:pt idx="67">
                  <c:v>0.615625</c:v>
                </c:pt>
                <c:pt idx="68">
                  <c:v>0.615972222222222</c:v>
                </c:pt>
                <c:pt idx="69">
                  <c:v>0.616319444444444</c:v>
                </c:pt>
                <c:pt idx="70">
                  <c:v>0.616666666666667</c:v>
                </c:pt>
                <c:pt idx="71">
                  <c:v>0.617013888888889</c:v>
                </c:pt>
                <c:pt idx="72">
                  <c:v>0.617361111111111</c:v>
                </c:pt>
                <c:pt idx="73">
                  <c:v>0.617708333333333</c:v>
                </c:pt>
                <c:pt idx="74">
                  <c:v>0.618055555555556</c:v>
                </c:pt>
                <c:pt idx="75">
                  <c:v>0.618402777777778</c:v>
                </c:pt>
                <c:pt idx="76">
                  <c:v>0.61875</c:v>
                </c:pt>
                <c:pt idx="77">
                  <c:v>0.619097222222222</c:v>
                </c:pt>
                <c:pt idx="78">
                  <c:v>0.619444444444445</c:v>
                </c:pt>
                <c:pt idx="79">
                  <c:v>0.619791666666667</c:v>
                </c:pt>
                <c:pt idx="80">
                  <c:v>0.620138888888889</c:v>
                </c:pt>
                <c:pt idx="81">
                  <c:v>0.620486111111111</c:v>
                </c:pt>
                <c:pt idx="82">
                  <c:v>0.620833333333333</c:v>
                </c:pt>
                <c:pt idx="83">
                  <c:v>0.621180555555556</c:v>
                </c:pt>
                <c:pt idx="84">
                  <c:v>0.621527777777778</c:v>
                </c:pt>
                <c:pt idx="85">
                  <c:v>0.621875</c:v>
                </c:pt>
                <c:pt idx="86">
                  <c:v>0.622222222222222</c:v>
                </c:pt>
                <c:pt idx="87">
                  <c:v>0.622569444444444</c:v>
                </c:pt>
                <c:pt idx="88">
                  <c:v>0.622916666666667</c:v>
                </c:pt>
                <c:pt idx="89">
                  <c:v>0.623263888888889</c:v>
                </c:pt>
                <c:pt idx="90">
                  <c:v>0.623611111111111</c:v>
                </c:pt>
                <c:pt idx="91">
                  <c:v>0.623958333333333</c:v>
                </c:pt>
                <c:pt idx="92">
                  <c:v>0.624305555555556</c:v>
                </c:pt>
                <c:pt idx="93">
                  <c:v>0.624652777777778</c:v>
                </c:pt>
                <c:pt idx="94">
                  <c:v>0.625</c:v>
                </c:pt>
                <c:pt idx="95">
                  <c:v>0.625347222222222</c:v>
                </c:pt>
                <c:pt idx="96">
                  <c:v>0.625694444444444</c:v>
                </c:pt>
                <c:pt idx="97">
                  <c:v>0.626041666666667</c:v>
                </c:pt>
                <c:pt idx="98">
                  <c:v>0.626388888888889</c:v>
                </c:pt>
                <c:pt idx="99">
                  <c:v>0.626736111111111</c:v>
                </c:pt>
                <c:pt idx="100">
                  <c:v>0.627083333333333</c:v>
                </c:pt>
                <c:pt idx="101">
                  <c:v>0.627430555555556</c:v>
                </c:pt>
                <c:pt idx="102">
                  <c:v>0.627777777777778</c:v>
                </c:pt>
                <c:pt idx="103">
                  <c:v>0.628125</c:v>
                </c:pt>
                <c:pt idx="104">
                  <c:v>0.628472222222222</c:v>
                </c:pt>
                <c:pt idx="105">
                  <c:v>0.628819444444445</c:v>
                </c:pt>
                <c:pt idx="106">
                  <c:v>0.629166666666667</c:v>
                </c:pt>
                <c:pt idx="107">
                  <c:v>0.629513888888889</c:v>
                </c:pt>
                <c:pt idx="108">
                  <c:v>0.629861111111111</c:v>
                </c:pt>
                <c:pt idx="109">
                  <c:v>0.630208333333333</c:v>
                </c:pt>
                <c:pt idx="110">
                  <c:v>0.630555555555556</c:v>
                </c:pt>
                <c:pt idx="111">
                  <c:v>0.630902777777778</c:v>
                </c:pt>
                <c:pt idx="112">
                  <c:v>0.63125</c:v>
                </c:pt>
                <c:pt idx="113">
                  <c:v>0.631597222222222</c:v>
                </c:pt>
                <c:pt idx="114">
                  <c:v>0.631944444444444</c:v>
                </c:pt>
                <c:pt idx="115">
                  <c:v>0.632291666666667</c:v>
                </c:pt>
                <c:pt idx="116">
                  <c:v>0.632638888888889</c:v>
                </c:pt>
                <c:pt idx="117">
                  <c:v>0.632986111111111</c:v>
                </c:pt>
                <c:pt idx="118">
                  <c:v>0.633333333333333</c:v>
                </c:pt>
                <c:pt idx="119">
                  <c:v>0.633680555555556</c:v>
                </c:pt>
                <c:pt idx="120">
                  <c:v>0.634027777777778</c:v>
                </c:pt>
                <c:pt idx="121">
                  <c:v>0.634375</c:v>
                </c:pt>
                <c:pt idx="122">
                  <c:v>0.634722222222222</c:v>
                </c:pt>
                <c:pt idx="123">
                  <c:v>0.635069444444445</c:v>
                </c:pt>
                <c:pt idx="124">
                  <c:v>0.635416666666667</c:v>
                </c:pt>
                <c:pt idx="125">
                  <c:v>0.635763888888889</c:v>
                </c:pt>
                <c:pt idx="126">
                  <c:v>0.636111111111111</c:v>
                </c:pt>
                <c:pt idx="127">
                  <c:v>0.636458333333333</c:v>
                </c:pt>
                <c:pt idx="128">
                  <c:v>0.636805555555556</c:v>
                </c:pt>
                <c:pt idx="129">
                  <c:v>0.637152777777778</c:v>
                </c:pt>
                <c:pt idx="130">
                  <c:v>0.6375</c:v>
                </c:pt>
                <c:pt idx="131">
                  <c:v>0.637847222222222</c:v>
                </c:pt>
                <c:pt idx="132">
                  <c:v>0.638194444444444</c:v>
                </c:pt>
                <c:pt idx="133">
                  <c:v>0.638541666666667</c:v>
                </c:pt>
                <c:pt idx="134">
                  <c:v>0.638888888888889</c:v>
                </c:pt>
                <c:pt idx="135">
                  <c:v>0.639236111111111</c:v>
                </c:pt>
                <c:pt idx="136">
                  <c:v>0.639583333333333</c:v>
                </c:pt>
                <c:pt idx="137">
                  <c:v>0.639930555555556</c:v>
                </c:pt>
                <c:pt idx="138">
                  <c:v>0.640277777777778</c:v>
                </c:pt>
                <c:pt idx="139">
                  <c:v>0.640625</c:v>
                </c:pt>
                <c:pt idx="140">
                  <c:v>0.640972222222222</c:v>
                </c:pt>
                <c:pt idx="141">
                  <c:v>0.641319444444444</c:v>
                </c:pt>
                <c:pt idx="142">
                  <c:v>0.641666666666667</c:v>
                </c:pt>
                <c:pt idx="143">
                  <c:v>0.642013888888889</c:v>
                </c:pt>
                <c:pt idx="144">
                  <c:v>0.642361111111111</c:v>
                </c:pt>
                <c:pt idx="145">
                  <c:v>0.642708333333333</c:v>
                </c:pt>
                <c:pt idx="146">
                  <c:v>0.643055555555556</c:v>
                </c:pt>
                <c:pt idx="147">
                  <c:v>0.643402777777778</c:v>
                </c:pt>
                <c:pt idx="148">
                  <c:v>0.64375</c:v>
                </c:pt>
                <c:pt idx="149">
                  <c:v>0.644097222222222</c:v>
                </c:pt>
                <c:pt idx="150">
                  <c:v>0.644444444444445</c:v>
                </c:pt>
                <c:pt idx="151">
                  <c:v>0.644791666666667</c:v>
                </c:pt>
                <c:pt idx="152">
                  <c:v>0.645138888888889</c:v>
                </c:pt>
                <c:pt idx="153">
                  <c:v>0.645486111111111</c:v>
                </c:pt>
                <c:pt idx="154">
                  <c:v>0.645833333333333</c:v>
                </c:pt>
                <c:pt idx="155">
                  <c:v>0.646180555555556</c:v>
                </c:pt>
                <c:pt idx="156">
                  <c:v>0.646527777777778</c:v>
                </c:pt>
                <c:pt idx="157">
                  <c:v>0.646875</c:v>
                </c:pt>
                <c:pt idx="158">
                  <c:v>0.647222222222222</c:v>
                </c:pt>
                <c:pt idx="159">
                  <c:v>0.647569444444444</c:v>
                </c:pt>
                <c:pt idx="160">
                  <c:v>0.647916666666667</c:v>
                </c:pt>
                <c:pt idx="161">
                  <c:v>0.648263888888889</c:v>
                </c:pt>
                <c:pt idx="162">
                  <c:v>0.648611111111111</c:v>
                </c:pt>
                <c:pt idx="163">
                  <c:v>0.648958333333333</c:v>
                </c:pt>
                <c:pt idx="164">
                  <c:v>0.649305555555556</c:v>
                </c:pt>
                <c:pt idx="165">
                  <c:v>0.649652777777778</c:v>
                </c:pt>
                <c:pt idx="166">
                  <c:v>0.65</c:v>
                </c:pt>
                <c:pt idx="167">
                  <c:v>0.650347222222222</c:v>
                </c:pt>
                <c:pt idx="168">
                  <c:v>0.650694444444445</c:v>
                </c:pt>
                <c:pt idx="169">
                  <c:v>0.651041666666667</c:v>
                </c:pt>
                <c:pt idx="170">
                  <c:v>0.651388888888889</c:v>
                </c:pt>
                <c:pt idx="171">
                  <c:v>0.651736111111111</c:v>
                </c:pt>
                <c:pt idx="172">
                  <c:v>0.652083333333333</c:v>
                </c:pt>
                <c:pt idx="173">
                  <c:v>0.652430555555556</c:v>
                </c:pt>
                <c:pt idx="174">
                  <c:v>0.652777777777778</c:v>
                </c:pt>
                <c:pt idx="175">
                  <c:v>0.653125</c:v>
                </c:pt>
                <c:pt idx="176">
                  <c:v>0.653472222222222</c:v>
                </c:pt>
                <c:pt idx="177">
                  <c:v>0.653819444444444</c:v>
                </c:pt>
                <c:pt idx="178">
                  <c:v>0.654166666666667</c:v>
                </c:pt>
                <c:pt idx="179">
                  <c:v>0.654513888888889</c:v>
                </c:pt>
                <c:pt idx="180">
                  <c:v>0.654861111111111</c:v>
                </c:pt>
                <c:pt idx="181">
                  <c:v>0.655208333333333</c:v>
                </c:pt>
                <c:pt idx="182">
                  <c:v>0.655555555555556</c:v>
                </c:pt>
                <c:pt idx="183">
                  <c:v>0.655902777777778</c:v>
                </c:pt>
                <c:pt idx="184">
                  <c:v>0.65625</c:v>
                </c:pt>
                <c:pt idx="185">
                  <c:v>0.656597222222222</c:v>
                </c:pt>
                <c:pt idx="186">
                  <c:v>0.656944444444444</c:v>
                </c:pt>
                <c:pt idx="187">
                  <c:v>0.657291666666667</c:v>
                </c:pt>
                <c:pt idx="188">
                  <c:v>0.657638888888889</c:v>
                </c:pt>
                <c:pt idx="189">
                  <c:v>0.657986111111111</c:v>
                </c:pt>
                <c:pt idx="190">
                  <c:v>0.658333333333333</c:v>
                </c:pt>
                <c:pt idx="191">
                  <c:v>0.658680555555556</c:v>
                </c:pt>
                <c:pt idx="192">
                  <c:v>0.659027777777778</c:v>
                </c:pt>
                <c:pt idx="193">
                  <c:v>0.659375</c:v>
                </c:pt>
                <c:pt idx="194">
                  <c:v>0.659722222222222</c:v>
                </c:pt>
                <c:pt idx="195">
                  <c:v>0.660069444444445</c:v>
                </c:pt>
                <c:pt idx="196">
                  <c:v>0.660416666666667</c:v>
                </c:pt>
                <c:pt idx="197">
                  <c:v>0.660763888888889</c:v>
                </c:pt>
                <c:pt idx="198">
                  <c:v>0.661111111111111</c:v>
                </c:pt>
                <c:pt idx="199">
                  <c:v>0.661458333333333</c:v>
                </c:pt>
                <c:pt idx="200">
                  <c:v>0.661805555555556</c:v>
                </c:pt>
                <c:pt idx="201">
                  <c:v>0.662152777777778</c:v>
                </c:pt>
                <c:pt idx="202">
                  <c:v>0.6625</c:v>
                </c:pt>
                <c:pt idx="203">
                  <c:v>0.662847222222222</c:v>
                </c:pt>
                <c:pt idx="204">
                  <c:v>0.663194444444444</c:v>
                </c:pt>
                <c:pt idx="205">
                  <c:v>0.663541666666667</c:v>
                </c:pt>
                <c:pt idx="206">
                  <c:v>0.663888888888889</c:v>
                </c:pt>
                <c:pt idx="207">
                  <c:v>0.664236111111111</c:v>
                </c:pt>
                <c:pt idx="208">
                  <c:v>0.664583333333333</c:v>
                </c:pt>
                <c:pt idx="209">
                  <c:v>0.664930555555556</c:v>
                </c:pt>
                <c:pt idx="210">
                  <c:v>0.665277777777778</c:v>
                </c:pt>
                <c:pt idx="211">
                  <c:v>0.665625</c:v>
                </c:pt>
                <c:pt idx="212">
                  <c:v>0.665972222222222</c:v>
                </c:pt>
                <c:pt idx="213">
                  <c:v>0.666319444444445</c:v>
                </c:pt>
                <c:pt idx="214">
                  <c:v>0.666666666666667</c:v>
                </c:pt>
                <c:pt idx="215">
                  <c:v>0.667013888888889</c:v>
                </c:pt>
                <c:pt idx="216">
                  <c:v>0.667361111111111</c:v>
                </c:pt>
                <c:pt idx="217">
                  <c:v>0.667708333333333</c:v>
                </c:pt>
                <c:pt idx="218">
                  <c:v>0.668055555555556</c:v>
                </c:pt>
                <c:pt idx="219">
                  <c:v>0.668402777777778</c:v>
                </c:pt>
                <c:pt idx="220">
                  <c:v>0.66875</c:v>
                </c:pt>
                <c:pt idx="221">
                  <c:v>0.669097222222222</c:v>
                </c:pt>
                <c:pt idx="222">
                  <c:v>0.669444444444445</c:v>
                </c:pt>
                <c:pt idx="223">
                  <c:v>0.669791666666667</c:v>
                </c:pt>
                <c:pt idx="224">
                  <c:v>0.670138888888889</c:v>
                </c:pt>
                <c:pt idx="225">
                  <c:v>0.670486111111111</c:v>
                </c:pt>
                <c:pt idx="226">
                  <c:v>0.670833333333333</c:v>
                </c:pt>
                <c:pt idx="227">
                  <c:v>0.671180555555556</c:v>
                </c:pt>
                <c:pt idx="228">
                  <c:v>0.671527777777778</c:v>
                </c:pt>
                <c:pt idx="229">
                  <c:v>0.671875</c:v>
                </c:pt>
                <c:pt idx="230">
                  <c:v>0.672222222222222</c:v>
                </c:pt>
                <c:pt idx="231">
                  <c:v>0.672569444444444</c:v>
                </c:pt>
                <c:pt idx="232">
                  <c:v>0.672916666666667</c:v>
                </c:pt>
                <c:pt idx="233">
                  <c:v>0.673263888888889</c:v>
                </c:pt>
                <c:pt idx="234">
                  <c:v>0.673611111111111</c:v>
                </c:pt>
                <c:pt idx="235">
                  <c:v>0.673958333333333</c:v>
                </c:pt>
                <c:pt idx="236">
                  <c:v>0.674305555555556</c:v>
                </c:pt>
                <c:pt idx="237">
                  <c:v>0.674652777777778</c:v>
                </c:pt>
                <c:pt idx="238">
                  <c:v>0.675</c:v>
                </c:pt>
                <c:pt idx="239">
                  <c:v>0.675347222222222</c:v>
                </c:pt>
                <c:pt idx="240">
                  <c:v>0.675694444444445</c:v>
                </c:pt>
                <c:pt idx="241">
                  <c:v>0.676041666666667</c:v>
                </c:pt>
                <c:pt idx="242">
                  <c:v>0.676388888888889</c:v>
                </c:pt>
                <c:pt idx="243">
                  <c:v>0.676736111111111</c:v>
                </c:pt>
                <c:pt idx="244">
                  <c:v>0.677083333333333</c:v>
                </c:pt>
                <c:pt idx="245">
                  <c:v>0.677430555555556</c:v>
                </c:pt>
                <c:pt idx="246">
                  <c:v>0.677777777777778</c:v>
                </c:pt>
                <c:pt idx="247">
                  <c:v>0.678125</c:v>
                </c:pt>
                <c:pt idx="248">
                  <c:v>0.678472222222222</c:v>
                </c:pt>
                <c:pt idx="249">
                  <c:v>0.678819444444444</c:v>
                </c:pt>
                <c:pt idx="250">
                  <c:v>0.679166666666667</c:v>
                </c:pt>
                <c:pt idx="251">
                  <c:v>0.679513888888889</c:v>
                </c:pt>
                <c:pt idx="252">
                  <c:v>0.679861111111111</c:v>
                </c:pt>
                <c:pt idx="253">
                  <c:v>0.680208333333333</c:v>
                </c:pt>
                <c:pt idx="254">
                  <c:v>0.680555555555556</c:v>
                </c:pt>
                <c:pt idx="255">
                  <c:v>0.680902777777778</c:v>
                </c:pt>
                <c:pt idx="256">
                  <c:v>0.68125</c:v>
                </c:pt>
                <c:pt idx="257">
                  <c:v>0.681597222222222</c:v>
                </c:pt>
                <c:pt idx="258">
                  <c:v>0.681944444444445</c:v>
                </c:pt>
                <c:pt idx="259">
                  <c:v>0.682291666666667</c:v>
                </c:pt>
                <c:pt idx="260">
                  <c:v>0.682638888888889</c:v>
                </c:pt>
                <c:pt idx="261">
                  <c:v>0.682986111111111</c:v>
                </c:pt>
                <c:pt idx="262">
                  <c:v>0.683333333333333</c:v>
                </c:pt>
                <c:pt idx="263">
                  <c:v>0.683680555555556</c:v>
                </c:pt>
                <c:pt idx="264">
                  <c:v>0.684027777777778</c:v>
                </c:pt>
                <c:pt idx="265">
                  <c:v>0.684375</c:v>
                </c:pt>
                <c:pt idx="266">
                  <c:v>0.684722222222222</c:v>
                </c:pt>
                <c:pt idx="267">
                  <c:v>0.685069444444445</c:v>
                </c:pt>
                <c:pt idx="268">
                  <c:v>0.685416666666667</c:v>
                </c:pt>
                <c:pt idx="269">
                  <c:v>0.685763888888889</c:v>
                </c:pt>
                <c:pt idx="270">
                  <c:v>0.686111111111111</c:v>
                </c:pt>
                <c:pt idx="271">
                  <c:v>0.686458333333333</c:v>
                </c:pt>
                <c:pt idx="272">
                  <c:v>0.686805555555556</c:v>
                </c:pt>
                <c:pt idx="273">
                  <c:v>0.687152777777778</c:v>
                </c:pt>
                <c:pt idx="274">
                  <c:v>0.6875</c:v>
                </c:pt>
                <c:pt idx="275">
                  <c:v>0.687847222222222</c:v>
                </c:pt>
                <c:pt idx="276">
                  <c:v>0.688194444444444</c:v>
                </c:pt>
                <c:pt idx="277">
                  <c:v>0.688541666666667</c:v>
                </c:pt>
                <c:pt idx="278">
                  <c:v>0.688888888888889</c:v>
                </c:pt>
                <c:pt idx="279">
                  <c:v>0.689236111111111</c:v>
                </c:pt>
                <c:pt idx="280">
                  <c:v>0.689583333333333</c:v>
                </c:pt>
                <c:pt idx="281">
                  <c:v>0.689930555555556</c:v>
                </c:pt>
                <c:pt idx="282">
                  <c:v>0.690277777777778</c:v>
                </c:pt>
                <c:pt idx="283">
                  <c:v>0.690625</c:v>
                </c:pt>
                <c:pt idx="284">
                  <c:v>0.690972222222222</c:v>
                </c:pt>
                <c:pt idx="285">
                  <c:v>0.691319444444445</c:v>
                </c:pt>
                <c:pt idx="286">
                  <c:v>0.691666666666667</c:v>
                </c:pt>
                <c:pt idx="287">
                  <c:v>0.692013888888889</c:v>
                </c:pt>
                <c:pt idx="288">
                  <c:v>0.692361111111111</c:v>
                </c:pt>
                <c:pt idx="289">
                  <c:v>0.692708333333333</c:v>
                </c:pt>
                <c:pt idx="290">
                  <c:v>0.693055555555556</c:v>
                </c:pt>
                <c:pt idx="291">
                  <c:v>0.693402777777778</c:v>
                </c:pt>
                <c:pt idx="292">
                  <c:v>0.69375</c:v>
                </c:pt>
                <c:pt idx="293">
                  <c:v>0.694097222222222</c:v>
                </c:pt>
                <c:pt idx="294">
                  <c:v>0.694444444444444</c:v>
                </c:pt>
                <c:pt idx="295">
                  <c:v>0.694791666666667</c:v>
                </c:pt>
                <c:pt idx="296">
                  <c:v>0.695138888888889</c:v>
                </c:pt>
                <c:pt idx="297">
                  <c:v>0.695486111111111</c:v>
                </c:pt>
                <c:pt idx="298">
                  <c:v>0.695833333333333</c:v>
                </c:pt>
                <c:pt idx="299">
                  <c:v>0.696180555555556</c:v>
                </c:pt>
                <c:pt idx="300">
                  <c:v>0.696527777777778</c:v>
                </c:pt>
                <c:pt idx="301">
                  <c:v>0.696875</c:v>
                </c:pt>
                <c:pt idx="302">
                  <c:v>0.697222222222222</c:v>
                </c:pt>
                <c:pt idx="303">
                  <c:v>0.697569444444445</c:v>
                </c:pt>
                <c:pt idx="304">
                  <c:v>0.697916666666667</c:v>
                </c:pt>
                <c:pt idx="305">
                  <c:v>0.698263888888889</c:v>
                </c:pt>
                <c:pt idx="306">
                  <c:v>0.698611111111111</c:v>
                </c:pt>
                <c:pt idx="307">
                  <c:v>0.698958333333333</c:v>
                </c:pt>
                <c:pt idx="308">
                  <c:v>0.699305555555556</c:v>
                </c:pt>
                <c:pt idx="309">
                  <c:v>0.699652777777778</c:v>
                </c:pt>
                <c:pt idx="310">
                  <c:v>0.7</c:v>
                </c:pt>
                <c:pt idx="311">
                  <c:v>0.700347222222222</c:v>
                </c:pt>
                <c:pt idx="312">
                  <c:v>0.700694444444445</c:v>
                </c:pt>
                <c:pt idx="313">
                  <c:v>0.701041666666667</c:v>
                </c:pt>
                <c:pt idx="314">
                  <c:v>0.701388888888889</c:v>
                </c:pt>
                <c:pt idx="315">
                  <c:v>0.701736111111111</c:v>
                </c:pt>
                <c:pt idx="316">
                  <c:v>0.702083333333333</c:v>
                </c:pt>
                <c:pt idx="317">
                  <c:v>0.702430555555556</c:v>
                </c:pt>
                <c:pt idx="318">
                  <c:v>0.702777777777778</c:v>
                </c:pt>
                <c:pt idx="319">
                  <c:v>0.703125</c:v>
                </c:pt>
                <c:pt idx="320">
                  <c:v>0.703472222222222</c:v>
                </c:pt>
                <c:pt idx="321">
                  <c:v>0.703819444444444</c:v>
                </c:pt>
                <c:pt idx="322">
                  <c:v>0.704166666666667</c:v>
                </c:pt>
                <c:pt idx="323">
                  <c:v>0.704513888888889</c:v>
                </c:pt>
                <c:pt idx="324">
                  <c:v>0.704861111111111</c:v>
                </c:pt>
                <c:pt idx="325">
                  <c:v>0.705208333333333</c:v>
                </c:pt>
                <c:pt idx="326">
                  <c:v>0.705555555555556</c:v>
                </c:pt>
                <c:pt idx="327">
                  <c:v>0.705902777777778</c:v>
                </c:pt>
                <c:pt idx="328">
                  <c:v>0.70625</c:v>
                </c:pt>
                <c:pt idx="329">
                  <c:v>0.706597222222222</c:v>
                </c:pt>
                <c:pt idx="330">
                  <c:v>0.706944444444445</c:v>
                </c:pt>
                <c:pt idx="331">
                  <c:v>0.707291666666667</c:v>
                </c:pt>
                <c:pt idx="332">
                  <c:v>0.707638888888889</c:v>
                </c:pt>
                <c:pt idx="333">
                  <c:v>0.707986111111111</c:v>
                </c:pt>
                <c:pt idx="334">
                  <c:v>0.708333333333333</c:v>
                </c:pt>
                <c:pt idx="335">
                  <c:v>0.708680555555556</c:v>
                </c:pt>
                <c:pt idx="336">
                  <c:v>0.709027777777778</c:v>
                </c:pt>
                <c:pt idx="337">
                  <c:v>0.709375</c:v>
                </c:pt>
                <c:pt idx="338">
                  <c:v>0.709722222222222</c:v>
                </c:pt>
                <c:pt idx="339">
                  <c:v>0.710069444444444</c:v>
                </c:pt>
                <c:pt idx="340">
                  <c:v>0.710416666666667</c:v>
                </c:pt>
                <c:pt idx="341">
                  <c:v>0.710763888888889</c:v>
                </c:pt>
                <c:pt idx="342">
                  <c:v>0.711111111111111</c:v>
                </c:pt>
                <c:pt idx="343">
                  <c:v>0.711458333333333</c:v>
                </c:pt>
                <c:pt idx="344">
                  <c:v>0.711805555555556</c:v>
                </c:pt>
                <c:pt idx="345">
                  <c:v>0.712152777777778</c:v>
                </c:pt>
                <c:pt idx="346">
                  <c:v>0.7125</c:v>
                </c:pt>
                <c:pt idx="347">
                  <c:v>0.712847222222222</c:v>
                </c:pt>
                <c:pt idx="348">
                  <c:v>0.713194444444445</c:v>
                </c:pt>
                <c:pt idx="349">
                  <c:v>0.713541666666667</c:v>
                </c:pt>
                <c:pt idx="350">
                  <c:v>0.713888888888889</c:v>
                </c:pt>
                <c:pt idx="351">
                  <c:v>0.714236111111111</c:v>
                </c:pt>
                <c:pt idx="352">
                  <c:v>0.714583333333333</c:v>
                </c:pt>
                <c:pt idx="353">
                  <c:v>0.714930555555556</c:v>
                </c:pt>
                <c:pt idx="354">
                  <c:v>0.715277777777778</c:v>
                </c:pt>
                <c:pt idx="355">
                  <c:v>0.715625</c:v>
                </c:pt>
                <c:pt idx="356">
                  <c:v>0.715972222222222</c:v>
                </c:pt>
                <c:pt idx="357">
                  <c:v>0.716319444444445</c:v>
                </c:pt>
                <c:pt idx="358">
                  <c:v>0.716666666666667</c:v>
                </c:pt>
                <c:pt idx="359">
                  <c:v>0.717013888888889</c:v>
                </c:pt>
                <c:pt idx="360">
                  <c:v>0.717361111111111</c:v>
                </c:pt>
                <c:pt idx="361">
                  <c:v>0.717708333333333</c:v>
                </c:pt>
                <c:pt idx="362">
                  <c:v>0.718055555555556</c:v>
                </c:pt>
                <c:pt idx="363">
                  <c:v>0.718402777777778</c:v>
                </c:pt>
                <c:pt idx="364">
                  <c:v>0.71875</c:v>
                </c:pt>
                <c:pt idx="365">
                  <c:v>0.719097222222222</c:v>
                </c:pt>
                <c:pt idx="366">
                  <c:v>0.719444444444444</c:v>
                </c:pt>
                <c:pt idx="367">
                  <c:v>0.719791666666667</c:v>
                </c:pt>
                <c:pt idx="368">
                  <c:v>0.720138888888889</c:v>
                </c:pt>
                <c:pt idx="369">
                  <c:v>0.720486111111111</c:v>
                </c:pt>
                <c:pt idx="370">
                  <c:v>0.720833333333333</c:v>
                </c:pt>
                <c:pt idx="371">
                  <c:v>0.721180555555556</c:v>
                </c:pt>
                <c:pt idx="372">
                  <c:v>0.721527777777778</c:v>
                </c:pt>
                <c:pt idx="373">
                  <c:v>0.721875</c:v>
                </c:pt>
                <c:pt idx="374">
                  <c:v>0.722222222222222</c:v>
                </c:pt>
                <c:pt idx="375">
                  <c:v>0.722569444444445</c:v>
                </c:pt>
                <c:pt idx="376">
                  <c:v>0.722916666666667</c:v>
                </c:pt>
                <c:pt idx="377">
                  <c:v>0.723263888888889</c:v>
                </c:pt>
                <c:pt idx="378">
                  <c:v>0.723611111111111</c:v>
                </c:pt>
                <c:pt idx="379">
                  <c:v>0.723958333333333</c:v>
                </c:pt>
                <c:pt idx="380">
                  <c:v>0.724305555555556</c:v>
                </c:pt>
                <c:pt idx="381">
                  <c:v>0.724652777777778</c:v>
                </c:pt>
                <c:pt idx="382">
                  <c:v>0.725</c:v>
                </c:pt>
                <c:pt idx="383">
                  <c:v>0.725347222222222</c:v>
                </c:pt>
                <c:pt idx="384">
                  <c:v>0.725694444444444</c:v>
                </c:pt>
                <c:pt idx="385">
                  <c:v>0.726041666666667</c:v>
                </c:pt>
                <c:pt idx="386">
                  <c:v>0.726388888888889</c:v>
                </c:pt>
                <c:pt idx="387">
                  <c:v>0.726736111111111</c:v>
                </c:pt>
                <c:pt idx="388">
                  <c:v>0.727083333333333</c:v>
                </c:pt>
                <c:pt idx="389">
                  <c:v>0.727430555555556</c:v>
                </c:pt>
                <c:pt idx="390">
                  <c:v>0.727777777777778</c:v>
                </c:pt>
                <c:pt idx="391">
                  <c:v>0.728125</c:v>
                </c:pt>
                <c:pt idx="392">
                  <c:v>0.728472222222222</c:v>
                </c:pt>
                <c:pt idx="393">
                  <c:v>0.728819444444445</c:v>
                </c:pt>
                <c:pt idx="394">
                  <c:v>0.729166666666667</c:v>
                </c:pt>
                <c:pt idx="395">
                  <c:v>0.729513888888889</c:v>
                </c:pt>
                <c:pt idx="396">
                  <c:v>0.729861111111111</c:v>
                </c:pt>
                <c:pt idx="397">
                  <c:v>0.730208333333333</c:v>
                </c:pt>
                <c:pt idx="398">
                  <c:v>0.730555555555556</c:v>
                </c:pt>
                <c:pt idx="399">
                  <c:v>0.730902777777778</c:v>
                </c:pt>
                <c:pt idx="400">
                  <c:v>0.73125</c:v>
                </c:pt>
                <c:pt idx="401">
                  <c:v>0.731597222222222</c:v>
                </c:pt>
                <c:pt idx="402">
                  <c:v>0.731944444444445</c:v>
                </c:pt>
                <c:pt idx="403">
                  <c:v>0.732291666666667</c:v>
                </c:pt>
                <c:pt idx="404">
                  <c:v>0.732638888888889</c:v>
                </c:pt>
                <c:pt idx="405">
                  <c:v>0.732986111111111</c:v>
                </c:pt>
                <c:pt idx="406">
                  <c:v>0.733333333333333</c:v>
                </c:pt>
                <c:pt idx="407">
                  <c:v>0.733680555555556</c:v>
                </c:pt>
                <c:pt idx="408">
                  <c:v>0.734027777777778</c:v>
                </c:pt>
                <c:pt idx="409">
                  <c:v>0.734375</c:v>
                </c:pt>
                <c:pt idx="410">
                  <c:v>0.734722222222222</c:v>
                </c:pt>
                <c:pt idx="411">
                  <c:v>0.735069444444444</c:v>
                </c:pt>
                <c:pt idx="412">
                  <c:v>0.735416666666667</c:v>
                </c:pt>
                <c:pt idx="413">
                  <c:v>0.735763888888889</c:v>
                </c:pt>
                <c:pt idx="414">
                  <c:v>0.736111111111111</c:v>
                </c:pt>
                <c:pt idx="415">
                  <c:v>0.736458333333333</c:v>
                </c:pt>
                <c:pt idx="416">
                  <c:v>0.736805555555556</c:v>
                </c:pt>
                <c:pt idx="417">
                  <c:v>0.737152777777778</c:v>
                </c:pt>
                <c:pt idx="418">
                  <c:v>0.7375</c:v>
                </c:pt>
                <c:pt idx="419">
                  <c:v>0.737847222222222</c:v>
                </c:pt>
                <c:pt idx="420">
                  <c:v>0.738194444444445</c:v>
                </c:pt>
                <c:pt idx="421">
                  <c:v>0.738541666666667</c:v>
                </c:pt>
                <c:pt idx="422">
                  <c:v>0.738888888888889</c:v>
                </c:pt>
                <c:pt idx="423">
                  <c:v>0.739236111111111</c:v>
                </c:pt>
                <c:pt idx="424">
                  <c:v>0.739583333333333</c:v>
                </c:pt>
                <c:pt idx="425">
                  <c:v>0.739930555555556</c:v>
                </c:pt>
                <c:pt idx="426">
                  <c:v>0.740277777777778</c:v>
                </c:pt>
                <c:pt idx="427">
                  <c:v>0.740625</c:v>
                </c:pt>
                <c:pt idx="428">
                  <c:v>0.740972222222222</c:v>
                </c:pt>
                <c:pt idx="429">
                  <c:v>0.741319444444444</c:v>
                </c:pt>
                <c:pt idx="430">
                  <c:v>0.741666666666667</c:v>
                </c:pt>
                <c:pt idx="431">
                  <c:v>0.742013888888889</c:v>
                </c:pt>
                <c:pt idx="432">
                  <c:v>0.742361111111111</c:v>
                </c:pt>
                <c:pt idx="433">
                  <c:v>0.742708333333333</c:v>
                </c:pt>
                <c:pt idx="434">
                  <c:v>0.743055555555556</c:v>
                </c:pt>
                <c:pt idx="435">
                  <c:v>0.743402777777778</c:v>
                </c:pt>
                <c:pt idx="436">
                  <c:v>0.74375</c:v>
                </c:pt>
                <c:pt idx="437">
                  <c:v>0.744097222222222</c:v>
                </c:pt>
                <c:pt idx="438">
                  <c:v>0.744444444444445</c:v>
                </c:pt>
                <c:pt idx="439">
                  <c:v>0.744791666666667</c:v>
                </c:pt>
                <c:pt idx="440">
                  <c:v>0.745138888888889</c:v>
                </c:pt>
                <c:pt idx="441">
                  <c:v>0.745486111111111</c:v>
                </c:pt>
              </c:numCache>
            </c:numRef>
          </c:xVal>
          <c:yVal>
            <c:numRef>
              <c:f>'Flight data'!$C$2:$C$443</c:f>
              <c:numCache>
                <c:formatCode>0.0</c:formatCode>
                <c:ptCount val="442"/>
                <c:pt idx="0">
                  <c:v>32.5</c:v>
                </c:pt>
                <c:pt idx="1">
                  <c:v>32.5</c:v>
                </c:pt>
                <c:pt idx="2">
                  <c:v>32.5</c:v>
                </c:pt>
                <c:pt idx="3">
                  <c:v>32.5</c:v>
                </c:pt>
                <c:pt idx="4">
                  <c:v>32.5</c:v>
                </c:pt>
                <c:pt idx="5">
                  <c:v>32.5</c:v>
                </c:pt>
                <c:pt idx="6">
                  <c:v>32.5</c:v>
                </c:pt>
                <c:pt idx="7">
                  <c:v>32.5</c:v>
                </c:pt>
                <c:pt idx="8">
                  <c:v>32.5</c:v>
                </c:pt>
                <c:pt idx="9">
                  <c:v>32.5</c:v>
                </c:pt>
                <c:pt idx="10">
                  <c:v>32.5</c:v>
                </c:pt>
                <c:pt idx="11">
                  <c:v>32.5</c:v>
                </c:pt>
                <c:pt idx="12">
                  <c:v>32.4</c:v>
                </c:pt>
                <c:pt idx="13">
                  <c:v>32.3833333333333</c:v>
                </c:pt>
                <c:pt idx="14">
                  <c:v>32.3</c:v>
                </c:pt>
                <c:pt idx="15">
                  <c:v>32.2333333333333</c:v>
                </c:pt>
                <c:pt idx="16">
                  <c:v>32.15</c:v>
                </c:pt>
                <c:pt idx="17">
                  <c:v>32.05</c:v>
                </c:pt>
                <c:pt idx="18">
                  <c:v>31.9666666666667</c:v>
                </c:pt>
                <c:pt idx="19">
                  <c:v>31.8666666666667</c:v>
                </c:pt>
                <c:pt idx="20">
                  <c:v>31.75</c:v>
                </c:pt>
                <c:pt idx="21">
                  <c:v>31.6333333333333</c:v>
                </c:pt>
                <c:pt idx="22">
                  <c:v>31.5166666666667</c:v>
                </c:pt>
                <c:pt idx="23">
                  <c:v>31.4</c:v>
                </c:pt>
                <c:pt idx="24">
                  <c:v>31.2666666666667</c:v>
                </c:pt>
                <c:pt idx="25">
                  <c:v>31.1333333333333</c:v>
                </c:pt>
                <c:pt idx="26">
                  <c:v>31</c:v>
                </c:pt>
                <c:pt idx="27">
                  <c:v>30.8666666666667</c:v>
                </c:pt>
                <c:pt idx="28">
                  <c:v>30.7333333333333</c:v>
                </c:pt>
                <c:pt idx="29">
                  <c:v>30.5666666666667</c:v>
                </c:pt>
                <c:pt idx="30">
                  <c:v>30.4333333333333</c:v>
                </c:pt>
                <c:pt idx="31">
                  <c:v>30.25</c:v>
                </c:pt>
                <c:pt idx="32">
                  <c:v>30.0833333333333</c:v>
                </c:pt>
                <c:pt idx="33">
                  <c:v>29.9333333333333</c:v>
                </c:pt>
                <c:pt idx="34">
                  <c:v>29.75</c:v>
                </c:pt>
                <c:pt idx="35">
                  <c:v>29.55</c:v>
                </c:pt>
                <c:pt idx="36">
                  <c:v>29.3833333333333</c:v>
                </c:pt>
                <c:pt idx="37">
                  <c:v>29.1833333333333</c:v>
                </c:pt>
                <c:pt idx="38">
                  <c:v>28.9833333333333</c:v>
                </c:pt>
                <c:pt idx="39">
                  <c:v>28.7833333333333</c:v>
                </c:pt>
                <c:pt idx="40">
                  <c:v>28.5833333333333</c:v>
                </c:pt>
                <c:pt idx="41">
                  <c:v>28.35</c:v>
                </c:pt>
                <c:pt idx="42">
                  <c:v>28.1166666666667</c:v>
                </c:pt>
                <c:pt idx="43">
                  <c:v>27.9</c:v>
                </c:pt>
                <c:pt idx="44">
                  <c:v>27.6666666666667</c:v>
                </c:pt>
                <c:pt idx="45">
                  <c:v>27.4166666666667</c:v>
                </c:pt>
                <c:pt idx="46">
                  <c:v>27.1833333333333</c:v>
                </c:pt>
                <c:pt idx="47">
                  <c:v>26.9333333333333</c:v>
                </c:pt>
                <c:pt idx="48">
                  <c:v>26.6833333333333</c:v>
                </c:pt>
                <c:pt idx="49">
                  <c:v>26.4333333333333</c:v>
                </c:pt>
                <c:pt idx="50">
                  <c:v>26.1666666666667</c:v>
                </c:pt>
                <c:pt idx="51">
                  <c:v>25.9</c:v>
                </c:pt>
                <c:pt idx="52">
                  <c:v>25.6166666666667</c:v>
                </c:pt>
                <c:pt idx="53">
                  <c:v>25.3666666666667</c:v>
                </c:pt>
                <c:pt idx="54">
                  <c:v>25.1</c:v>
                </c:pt>
                <c:pt idx="55">
                  <c:v>24.8</c:v>
                </c:pt>
                <c:pt idx="56">
                  <c:v>24.5</c:v>
                </c:pt>
                <c:pt idx="57">
                  <c:v>24.2</c:v>
                </c:pt>
                <c:pt idx="58">
                  <c:v>23.9</c:v>
                </c:pt>
                <c:pt idx="59">
                  <c:v>23.6</c:v>
                </c:pt>
                <c:pt idx="60">
                  <c:v>23.3</c:v>
                </c:pt>
                <c:pt idx="61">
                  <c:v>23</c:v>
                </c:pt>
                <c:pt idx="62">
                  <c:v>22.6666666666667</c:v>
                </c:pt>
                <c:pt idx="63">
                  <c:v>22.35</c:v>
                </c:pt>
                <c:pt idx="64">
                  <c:v>22.0166666666667</c:v>
                </c:pt>
                <c:pt idx="65">
                  <c:v>21.7</c:v>
                </c:pt>
                <c:pt idx="66">
                  <c:v>21.3666666666667</c:v>
                </c:pt>
                <c:pt idx="67">
                  <c:v>21.05</c:v>
                </c:pt>
                <c:pt idx="68">
                  <c:v>20.7</c:v>
                </c:pt>
                <c:pt idx="69">
                  <c:v>20.3666666666667</c:v>
                </c:pt>
                <c:pt idx="70">
                  <c:v>20.0166666666667</c:v>
                </c:pt>
                <c:pt idx="71">
                  <c:v>19.6666666666667</c:v>
                </c:pt>
                <c:pt idx="72">
                  <c:v>19.3166666666667</c:v>
                </c:pt>
                <c:pt idx="73">
                  <c:v>18.95</c:v>
                </c:pt>
                <c:pt idx="74">
                  <c:v>18.6</c:v>
                </c:pt>
                <c:pt idx="75">
                  <c:v>18.2333333333333</c:v>
                </c:pt>
                <c:pt idx="76">
                  <c:v>17.8666666666667</c:v>
                </c:pt>
                <c:pt idx="77">
                  <c:v>17.4833333333333</c:v>
                </c:pt>
                <c:pt idx="78">
                  <c:v>17.1166666666667</c:v>
                </c:pt>
                <c:pt idx="79">
                  <c:v>16.7333333333333</c:v>
                </c:pt>
                <c:pt idx="80">
                  <c:v>16.3666666666667</c:v>
                </c:pt>
                <c:pt idx="81">
                  <c:v>15.9666666666667</c:v>
                </c:pt>
                <c:pt idx="82">
                  <c:v>15.5833333333333</c:v>
                </c:pt>
                <c:pt idx="83">
                  <c:v>15.1833333333333</c:v>
                </c:pt>
                <c:pt idx="84">
                  <c:v>14.8</c:v>
                </c:pt>
                <c:pt idx="85">
                  <c:v>14.4</c:v>
                </c:pt>
                <c:pt idx="86">
                  <c:v>13.9833333333333</c:v>
                </c:pt>
                <c:pt idx="87">
                  <c:v>13.5833333333333</c:v>
                </c:pt>
                <c:pt idx="88">
                  <c:v>13.1666666666667</c:v>
                </c:pt>
                <c:pt idx="89">
                  <c:v>12.75</c:v>
                </c:pt>
                <c:pt idx="90">
                  <c:v>12.3166666666667</c:v>
                </c:pt>
                <c:pt idx="91">
                  <c:v>11.9</c:v>
                </c:pt>
                <c:pt idx="92">
                  <c:v>11.4666666666667</c:v>
                </c:pt>
                <c:pt idx="93">
                  <c:v>11.0333333333333</c:v>
                </c:pt>
                <c:pt idx="94">
                  <c:v>10.6</c:v>
                </c:pt>
                <c:pt idx="95">
                  <c:v>10.1666666666667</c:v>
                </c:pt>
                <c:pt idx="96">
                  <c:v>9.71666666666667</c:v>
                </c:pt>
                <c:pt idx="97">
                  <c:v>9.3</c:v>
                </c:pt>
                <c:pt idx="98">
                  <c:v>8.81666666666667</c:v>
                </c:pt>
                <c:pt idx="99">
                  <c:v>8.38333333333333</c:v>
                </c:pt>
                <c:pt idx="100">
                  <c:v>7.9</c:v>
                </c:pt>
                <c:pt idx="101">
                  <c:v>7.46666666666667</c:v>
                </c:pt>
                <c:pt idx="102">
                  <c:v>7</c:v>
                </c:pt>
                <c:pt idx="103">
                  <c:v>6.53333333333333</c:v>
                </c:pt>
                <c:pt idx="104">
                  <c:v>6.08333333333333</c:v>
                </c:pt>
                <c:pt idx="105">
                  <c:v>5.6</c:v>
                </c:pt>
                <c:pt idx="106">
                  <c:v>5.11666666666667</c:v>
                </c:pt>
                <c:pt idx="107">
                  <c:v>4.63333333333333</c:v>
                </c:pt>
                <c:pt idx="108">
                  <c:v>4.18333333333333</c:v>
                </c:pt>
                <c:pt idx="109">
                  <c:v>3.68333333333333</c:v>
                </c:pt>
                <c:pt idx="110">
                  <c:v>3.18333333333333</c:v>
                </c:pt>
                <c:pt idx="111">
                  <c:v>2.7</c:v>
                </c:pt>
                <c:pt idx="112">
                  <c:v>2.2</c:v>
                </c:pt>
                <c:pt idx="113">
                  <c:v>1.7</c:v>
                </c:pt>
                <c:pt idx="114">
                  <c:v>1.2</c:v>
                </c:pt>
                <c:pt idx="115">
                  <c:v>0.7</c:v>
                </c:pt>
                <c:pt idx="116">
                  <c:v>0.2</c:v>
                </c:pt>
                <c:pt idx="117">
                  <c:v>-0.3</c:v>
                </c:pt>
                <c:pt idx="118">
                  <c:v>-0.816666666666667</c:v>
                </c:pt>
                <c:pt idx="119">
                  <c:v>-1.31666666666667</c:v>
                </c:pt>
                <c:pt idx="120">
                  <c:v>-1.83333333333333</c:v>
                </c:pt>
                <c:pt idx="121">
                  <c:v>-2.33333333333333</c:v>
                </c:pt>
                <c:pt idx="122">
                  <c:v>-2.83333333333333</c:v>
                </c:pt>
                <c:pt idx="123">
                  <c:v>-3.33333333333333</c:v>
                </c:pt>
                <c:pt idx="124">
                  <c:v>-3.81666666666667</c:v>
                </c:pt>
                <c:pt idx="125">
                  <c:v>-4.3</c:v>
                </c:pt>
                <c:pt idx="126">
                  <c:v>-4.8</c:v>
                </c:pt>
                <c:pt idx="127">
                  <c:v>-5.3</c:v>
                </c:pt>
                <c:pt idx="128">
                  <c:v>-5.78333333333333</c:v>
                </c:pt>
                <c:pt idx="129">
                  <c:v>-6.28333333333333</c:v>
                </c:pt>
                <c:pt idx="130">
                  <c:v>-6.76666666666667</c:v>
                </c:pt>
                <c:pt idx="131">
                  <c:v>-7.23333333333333</c:v>
                </c:pt>
                <c:pt idx="132">
                  <c:v>-7.71666666666667</c:v>
                </c:pt>
                <c:pt idx="133">
                  <c:v>-8.2</c:v>
                </c:pt>
                <c:pt idx="134">
                  <c:v>-8.68333333333333</c:v>
                </c:pt>
                <c:pt idx="135">
                  <c:v>-9.11666666666667</c:v>
                </c:pt>
                <c:pt idx="136">
                  <c:v>-9.6</c:v>
                </c:pt>
                <c:pt idx="137">
                  <c:v>-10.0333333333333</c:v>
                </c:pt>
                <c:pt idx="138">
                  <c:v>-10.5</c:v>
                </c:pt>
                <c:pt idx="139">
                  <c:v>-10.9333333333333</c:v>
                </c:pt>
                <c:pt idx="140">
                  <c:v>-11.35</c:v>
                </c:pt>
                <c:pt idx="141">
                  <c:v>-11.8</c:v>
                </c:pt>
                <c:pt idx="142">
                  <c:v>-12.2</c:v>
                </c:pt>
                <c:pt idx="143">
                  <c:v>-12.6333333333333</c:v>
                </c:pt>
                <c:pt idx="144">
                  <c:v>-13</c:v>
                </c:pt>
                <c:pt idx="145">
                  <c:v>-13.4333333333333</c:v>
                </c:pt>
                <c:pt idx="146">
                  <c:v>-13.8</c:v>
                </c:pt>
                <c:pt idx="147">
                  <c:v>-14.1666666666667</c:v>
                </c:pt>
                <c:pt idx="148">
                  <c:v>-14.55</c:v>
                </c:pt>
                <c:pt idx="149">
                  <c:v>-14.9333333333333</c:v>
                </c:pt>
                <c:pt idx="150">
                  <c:v>-15.3</c:v>
                </c:pt>
                <c:pt idx="151">
                  <c:v>-15.65</c:v>
                </c:pt>
                <c:pt idx="152">
                  <c:v>-16</c:v>
                </c:pt>
                <c:pt idx="153">
                  <c:v>-16.35</c:v>
                </c:pt>
                <c:pt idx="154">
                  <c:v>-16.6666666666667</c:v>
                </c:pt>
                <c:pt idx="155">
                  <c:v>-17</c:v>
                </c:pt>
                <c:pt idx="156">
                  <c:v>-17.35</c:v>
                </c:pt>
                <c:pt idx="157">
                  <c:v>-17.65</c:v>
                </c:pt>
                <c:pt idx="158">
                  <c:v>-18</c:v>
                </c:pt>
                <c:pt idx="159">
                  <c:v>-18.3</c:v>
                </c:pt>
                <c:pt idx="160">
                  <c:v>-18.6</c:v>
                </c:pt>
                <c:pt idx="161">
                  <c:v>-18.9</c:v>
                </c:pt>
                <c:pt idx="162">
                  <c:v>-19.2</c:v>
                </c:pt>
                <c:pt idx="163">
                  <c:v>-19.5</c:v>
                </c:pt>
                <c:pt idx="164">
                  <c:v>-19.8</c:v>
                </c:pt>
                <c:pt idx="165">
                  <c:v>-20.1</c:v>
                </c:pt>
                <c:pt idx="166">
                  <c:v>-20.3833333333333</c:v>
                </c:pt>
                <c:pt idx="167">
                  <c:v>-20.65</c:v>
                </c:pt>
                <c:pt idx="168">
                  <c:v>-20.9333333333333</c:v>
                </c:pt>
                <c:pt idx="169">
                  <c:v>-21.2</c:v>
                </c:pt>
                <c:pt idx="170">
                  <c:v>-21.4333333333333</c:v>
                </c:pt>
                <c:pt idx="171">
                  <c:v>-21.7</c:v>
                </c:pt>
                <c:pt idx="172">
                  <c:v>-21.9666666666667</c:v>
                </c:pt>
                <c:pt idx="173">
                  <c:v>-22.2</c:v>
                </c:pt>
                <c:pt idx="174">
                  <c:v>-22.4333333333333</c:v>
                </c:pt>
                <c:pt idx="175">
                  <c:v>-22.7</c:v>
                </c:pt>
                <c:pt idx="176">
                  <c:v>-22.9166666666667</c:v>
                </c:pt>
                <c:pt idx="177">
                  <c:v>-23.1333333333333</c:v>
                </c:pt>
                <c:pt idx="178">
                  <c:v>-23.3833333333333</c:v>
                </c:pt>
                <c:pt idx="179">
                  <c:v>-23.5833333333333</c:v>
                </c:pt>
                <c:pt idx="180">
                  <c:v>-23.8166666666667</c:v>
                </c:pt>
                <c:pt idx="181">
                  <c:v>-24.0166666666667</c:v>
                </c:pt>
                <c:pt idx="182">
                  <c:v>-24.25</c:v>
                </c:pt>
                <c:pt idx="183">
                  <c:v>-24.45</c:v>
                </c:pt>
                <c:pt idx="184">
                  <c:v>-24.65</c:v>
                </c:pt>
                <c:pt idx="185">
                  <c:v>-24.8666666666667</c:v>
                </c:pt>
                <c:pt idx="186">
                  <c:v>-25.05</c:v>
                </c:pt>
                <c:pt idx="187">
                  <c:v>-25.25</c:v>
                </c:pt>
                <c:pt idx="188">
                  <c:v>-25.45</c:v>
                </c:pt>
                <c:pt idx="189">
                  <c:v>-25.65</c:v>
                </c:pt>
                <c:pt idx="190">
                  <c:v>-25.8333333333333</c:v>
                </c:pt>
                <c:pt idx="191">
                  <c:v>-26.0166666666667</c:v>
                </c:pt>
                <c:pt idx="192">
                  <c:v>-26.2</c:v>
                </c:pt>
                <c:pt idx="193">
                  <c:v>-26.3833333333333</c:v>
                </c:pt>
                <c:pt idx="194">
                  <c:v>-26.55</c:v>
                </c:pt>
                <c:pt idx="195">
                  <c:v>-26.75</c:v>
                </c:pt>
                <c:pt idx="196">
                  <c:v>-26.9166666666667</c:v>
                </c:pt>
                <c:pt idx="197">
                  <c:v>-27.0666666666667</c:v>
                </c:pt>
                <c:pt idx="198">
                  <c:v>-27.25</c:v>
                </c:pt>
                <c:pt idx="199">
                  <c:v>-27.4</c:v>
                </c:pt>
                <c:pt idx="200">
                  <c:v>-27.55</c:v>
                </c:pt>
                <c:pt idx="201">
                  <c:v>-27.7166666666667</c:v>
                </c:pt>
                <c:pt idx="202">
                  <c:v>-27.85</c:v>
                </c:pt>
                <c:pt idx="203">
                  <c:v>-28.0166666666667</c:v>
                </c:pt>
                <c:pt idx="204">
                  <c:v>-28.1333333333333</c:v>
                </c:pt>
                <c:pt idx="205">
                  <c:v>-28.2833333333333</c:v>
                </c:pt>
                <c:pt idx="206">
                  <c:v>-28.4166666666667</c:v>
                </c:pt>
                <c:pt idx="207">
                  <c:v>-28.5333333333333</c:v>
                </c:pt>
                <c:pt idx="208">
                  <c:v>-28.65</c:v>
                </c:pt>
                <c:pt idx="209">
                  <c:v>-28.7833333333333</c:v>
                </c:pt>
                <c:pt idx="210">
                  <c:v>-28.9</c:v>
                </c:pt>
                <c:pt idx="211">
                  <c:v>-29</c:v>
                </c:pt>
                <c:pt idx="212">
                  <c:v>-29.1</c:v>
                </c:pt>
                <c:pt idx="213">
                  <c:v>-29.2166666666667</c:v>
                </c:pt>
                <c:pt idx="214">
                  <c:v>-29.3166666666667</c:v>
                </c:pt>
                <c:pt idx="215">
                  <c:v>-29.4</c:v>
                </c:pt>
                <c:pt idx="216">
                  <c:v>-29.5</c:v>
                </c:pt>
                <c:pt idx="217">
                  <c:v>-29.5833333333333</c:v>
                </c:pt>
                <c:pt idx="218">
                  <c:v>-29.6666666666667</c:v>
                </c:pt>
                <c:pt idx="219">
                  <c:v>-29.7666666666667</c:v>
                </c:pt>
                <c:pt idx="220">
                  <c:v>-29.85</c:v>
                </c:pt>
                <c:pt idx="221">
                  <c:v>-29.9166666666667</c:v>
                </c:pt>
                <c:pt idx="222">
                  <c:v>-30</c:v>
                </c:pt>
                <c:pt idx="223">
                  <c:v>-30.0666666666667</c:v>
                </c:pt>
                <c:pt idx="224">
                  <c:v>-30.1166666666667</c:v>
                </c:pt>
                <c:pt idx="225">
                  <c:v>-30.2</c:v>
                </c:pt>
                <c:pt idx="226">
                  <c:v>-30.2833333333333</c:v>
                </c:pt>
                <c:pt idx="227">
                  <c:v>-30.35</c:v>
                </c:pt>
                <c:pt idx="228">
                  <c:v>-30.4</c:v>
                </c:pt>
                <c:pt idx="229">
                  <c:v>-30.4833333333333</c:v>
                </c:pt>
                <c:pt idx="230">
                  <c:v>-30.5166666666667</c:v>
                </c:pt>
                <c:pt idx="231">
                  <c:v>-30.6</c:v>
                </c:pt>
                <c:pt idx="232">
                  <c:v>-30.6166666666667</c:v>
                </c:pt>
                <c:pt idx="233">
                  <c:v>-30.7</c:v>
                </c:pt>
                <c:pt idx="234">
                  <c:v>-30.7333333333333</c:v>
                </c:pt>
                <c:pt idx="235">
                  <c:v>-30.8</c:v>
                </c:pt>
                <c:pt idx="236">
                  <c:v>-30.8</c:v>
                </c:pt>
                <c:pt idx="237">
                  <c:v>-30.8666666666667</c:v>
                </c:pt>
                <c:pt idx="238">
                  <c:v>-30.9</c:v>
                </c:pt>
                <c:pt idx="239">
                  <c:v>-30.9</c:v>
                </c:pt>
                <c:pt idx="240">
                  <c:v>-30.9833333333333</c:v>
                </c:pt>
                <c:pt idx="241">
                  <c:v>-31</c:v>
                </c:pt>
                <c:pt idx="242">
                  <c:v>-31</c:v>
                </c:pt>
                <c:pt idx="243">
                  <c:v>-31</c:v>
                </c:pt>
                <c:pt idx="244">
                  <c:v>-31.0333333333333</c:v>
                </c:pt>
                <c:pt idx="245">
                  <c:v>-31.1</c:v>
                </c:pt>
                <c:pt idx="246">
                  <c:v>-31.1</c:v>
                </c:pt>
                <c:pt idx="247">
                  <c:v>-31.1</c:v>
                </c:pt>
                <c:pt idx="248">
                  <c:v>-31.1</c:v>
                </c:pt>
                <c:pt idx="249">
                  <c:v>-31.1</c:v>
                </c:pt>
                <c:pt idx="250">
                  <c:v>-31.1</c:v>
                </c:pt>
                <c:pt idx="251">
                  <c:v>-31.1166666666667</c:v>
                </c:pt>
                <c:pt idx="252">
                  <c:v>-31.15</c:v>
                </c:pt>
                <c:pt idx="253">
                  <c:v>-31.1833333333333</c:v>
                </c:pt>
                <c:pt idx="254">
                  <c:v>-31.1666666666667</c:v>
                </c:pt>
                <c:pt idx="255">
                  <c:v>-31.1</c:v>
                </c:pt>
                <c:pt idx="256">
                  <c:v>-31.1</c:v>
                </c:pt>
                <c:pt idx="257">
                  <c:v>-31.1</c:v>
                </c:pt>
                <c:pt idx="258">
                  <c:v>-31.1</c:v>
                </c:pt>
                <c:pt idx="259">
                  <c:v>-31.1</c:v>
                </c:pt>
                <c:pt idx="260">
                  <c:v>-31.1</c:v>
                </c:pt>
                <c:pt idx="261">
                  <c:v>-31.1</c:v>
                </c:pt>
                <c:pt idx="262">
                  <c:v>-31.1</c:v>
                </c:pt>
                <c:pt idx="263">
                  <c:v>-31.1</c:v>
                </c:pt>
                <c:pt idx="264">
                  <c:v>-31.1</c:v>
                </c:pt>
                <c:pt idx="265">
                  <c:v>-31</c:v>
                </c:pt>
                <c:pt idx="266">
                  <c:v>-31</c:v>
                </c:pt>
                <c:pt idx="267">
                  <c:v>-31</c:v>
                </c:pt>
                <c:pt idx="268">
                  <c:v>-31</c:v>
                </c:pt>
                <c:pt idx="269">
                  <c:v>-31</c:v>
                </c:pt>
                <c:pt idx="270">
                  <c:v>-30.9833333333333</c:v>
                </c:pt>
                <c:pt idx="271">
                  <c:v>-30.9</c:v>
                </c:pt>
                <c:pt idx="272">
                  <c:v>-30.9</c:v>
                </c:pt>
                <c:pt idx="273">
                  <c:v>-30.9</c:v>
                </c:pt>
                <c:pt idx="274">
                  <c:v>-30.9</c:v>
                </c:pt>
                <c:pt idx="275">
                  <c:v>-30.85</c:v>
                </c:pt>
                <c:pt idx="276">
                  <c:v>-30.8</c:v>
                </c:pt>
                <c:pt idx="277">
                  <c:v>-30.8</c:v>
                </c:pt>
                <c:pt idx="278">
                  <c:v>-30.7166666666667</c:v>
                </c:pt>
                <c:pt idx="279">
                  <c:v>-30.7</c:v>
                </c:pt>
                <c:pt idx="280">
                  <c:v>-30.6</c:v>
                </c:pt>
                <c:pt idx="281">
                  <c:v>-30.5833333333333</c:v>
                </c:pt>
                <c:pt idx="282">
                  <c:v>-30.5</c:v>
                </c:pt>
                <c:pt idx="283">
                  <c:v>-30.4833333333333</c:v>
                </c:pt>
                <c:pt idx="284">
                  <c:v>-30.4</c:v>
                </c:pt>
                <c:pt idx="285">
                  <c:v>-30.3666666666667</c:v>
                </c:pt>
                <c:pt idx="286">
                  <c:v>-30.3</c:v>
                </c:pt>
                <c:pt idx="287">
                  <c:v>-30.2666666666667</c:v>
                </c:pt>
                <c:pt idx="288">
                  <c:v>-30.2</c:v>
                </c:pt>
                <c:pt idx="289">
                  <c:v>-30.1166666666667</c:v>
                </c:pt>
                <c:pt idx="290">
                  <c:v>-30.1</c:v>
                </c:pt>
                <c:pt idx="291">
                  <c:v>-30.0166666666667</c:v>
                </c:pt>
                <c:pt idx="292">
                  <c:v>-30</c:v>
                </c:pt>
                <c:pt idx="293">
                  <c:v>-29.9</c:v>
                </c:pt>
                <c:pt idx="294">
                  <c:v>-29.8666666666667</c:v>
                </c:pt>
                <c:pt idx="295">
                  <c:v>-29.8</c:v>
                </c:pt>
                <c:pt idx="296">
                  <c:v>-29.7166666666667</c:v>
                </c:pt>
                <c:pt idx="297">
                  <c:v>-29.65</c:v>
                </c:pt>
                <c:pt idx="298">
                  <c:v>-29.5833333333333</c:v>
                </c:pt>
                <c:pt idx="299">
                  <c:v>-29.5</c:v>
                </c:pt>
                <c:pt idx="300">
                  <c:v>-29.4166666666667</c:v>
                </c:pt>
                <c:pt idx="301">
                  <c:v>-29.35</c:v>
                </c:pt>
                <c:pt idx="302">
                  <c:v>-29.2666666666667</c:v>
                </c:pt>
                <c:pt idx="303">
                  <c:v>-29.2</c:v>
                </c:pt>
                <c:pt idx="304">
                  <c:v>-29.1166666666667</c:v>
                </c:pt>
                <c:pt idx="305">
                  <c:v>-29.0833333333333</c:v>
                </c:pt>
                <c:pt idx="306">
                  <c:v>-29</c:v>
                </c:pt>
                <c:pt idx="307">
                  <c:v>-28.9666666666667</c:v>
                </c:pt>
                <c:pt idx="308">
                  <c:v>-28.9</c:v>
                </c:pt>
                <c:pt idx="309">
                  <c:v>-28.9</c:v>
                </c:pt>
                <c:pt idx="310">
                  <c:v>-28.8666666666667</c:v>
                </c:pt>
                <c:pt idx="311">
                  <c:v>-28.8</c:v>
                </c:pt>
                <c:pt idx="312">
                  <c:v>-28.8</c:v>
                </c:pt>
                <c:pt idx="313">
                  <c:v>-28.8166666666667</c:v>
                </c:pt>
                <c:pt idx="314">
                  <c:v>-28.9</c:v>
                </c:pt>
                <c:pt idx="315">
                  <c:v>-28.9</c:v>
                </c:pt>
                <c:pt idx="316">
                  <c:v>-28.9</c:v>
                </c:pt>
                <c:pt idx="317">
                  <c:v>-29</c:v>
                </c:pt>
                <c:pt idx="318">
                  <c:v>-29</c:v>
                </c:pt>
                <c:pt idx="319">
                  <c:v>-29.1</c:v>
                </c:pt>
                <c:pt idx="320">
                  <c:v>-29.15</c:v>
                </c:pt>
                <c:pt idx="321">
                  <c:v>-29.2333333333333</c:v>
                </c:pt>
                <c:pt idx="322">
                  <c:v>-29.3166666666667</c:v>
                </c:pt>
                <c:pt idx="323">
                  <c:v>-29.4166666666667</c:v>
                </c:pt>
                <c:pt idx="324">
                  <c:v>-29.5166666666667</c:v>
                </c:pt>
                <c:pt idx="325">
                  <c:v>-29.6333333333333</c:v>
                </c:pt>
                <c:pt idx="326">
                  <c:v>-29.75</c:v>
                </c:pt>
                <c:pt idx="327">
                  <c:v>-29.8666666666667</c:v>
                </c:pt>
                <c:pt idx="328">
                  <c:v>-30</c:v>
                </c:pt>
                <c:pt idx="329">
                  <c:v>-30.1333333333333</c:v>
                </c:pt>
                <c:pt idx="330">
                  <c:v>-30.2833333333333</c:v>
                </c:pt>
                <c:pt idx="331">
                  <c:v>-30.4333333333333</c:v>
                </c:pt>
                <c:pt idx="332">
                  <c:v>-30.5666666666667</c:v>
                </c:pt>
                <c:pt idx="333">
                  <c:v>-30.7333333333333</c:v>
                </c:pt>
                <c:pt idx="334">
                  <c:v>-30.9</c:v>
                </c:pt>
                <c:pt idx="335">
                  <c:v>-31.05</c:v>
                </c:pt>
                <c:pt idx="336">
                  <c:v>-31.2</c:v>
                </c:pt>
                <c:pt idx="337">
                  <c:v>-31.3666666666667</c:v>
                </c:pt>
                <c:pt idx="338">
                  <c:v>-31.5333333333333</c:v>
                </c:pt>
                <c:pt idx="339">
                  <c:v>-31.6833333333333</c:v>
                </c:pt>
                <c:pt idx="340">
                  <c:v>-31.85</c:v>
                </c:pt>
                <c:pt idx="341">
                  <c:v>-32.0333333333333</c:v>
                </c:pt>
                <c:pt idx="342">
                  <c:v>-32.2166666666667</c:v>
                </c:pt>
                <c:pt idx="343">
                  <c:v>-32.3833333333333</c:v>
                </c:pt>
                <c:pt idx="344">
                  <c:v>-32.5833333333333</c:v>
                </c:pt>
                <c:pt idx="345">
                  <c:v>-32.75</c:v>
                </c:pt>
                <c:pt idx="346">
                  <c:v>-32.95</c:v>
                </c:pt>
                <c:pt idx="347">
                  <c:v>-33.15</c:v>
                </c:pt>
                <c:pt idx="348">
                  <c:v>-33.35</c:v>
                </c:pt>
                <c:pt idx="349">
                  <c:v>-33.55</c:v>
                </c:pt>
                <c:pt idx="350">
                  <c:v>-33.75</c:v>
                </c:pt>
                <c:pt idx="351">
                  <c:v>-33.9833333333333</c:v>
                </c:pt>
                <c:pt idx="352">
                  <c:v>-34.1833333333333</c:v>
                </c:pt>
                <c:pt idx="353">
                  <c:v>-34.4</c:v>
                </c:pt>
                <c:pt idx="354">
                  <c:v>-34.6166666666667</c:v>
                </c:pt>
                <c:pt idx="355">
                  <c:v>-34.8166666666667</c:v>
                </c:pt>
                <c:pt idx="356">
                  <c:v>-35.05</c:v>
                </c:pt>
                <c:pt idx="357">
                  <c:v>-35.25</c:v>
                </c:pt>
                <c:pt idx="358">
                  <c:v>-35.4666666666667</c:v>
                </c:pt>
                <c:pt idx="359">
                  <c:v>-35.65</c:v>
                </c:pt>
                <c:pt idx="360">
                  <c:v>-35.85</c:v>
                </c:pt>
                <c:pt idx="361">
                  <c:v>-36.0166666666667</c:v>
                </c:pt>
                <c:pt idx="362">
                  <c:v>-36.1666666666667</c:v>
                </c:pt>
                <c:pt idx="363">
                  <c:v>-36.3166666666667</c:v>
                </c:pt>
                <c:pt idx="364">
                  <c:v>-36.45</c:v>
                </c:pt>
                <c:pt idx="365">
                  <c:v>-36.5666666666667</c:v>
                </c:pt>
                <c:pt idx="366">
                  <c:v>-36.6833333333333</c:v>
                </c:pt>
                <c:pt idx="367">
                  <c:v>-36.7666666666667</c:v>
                </c:pt>
                <c:pt idx="368">
                  <c:v>-36.8</c:v>
                </c:pt>
                <c:pt idx="369">
                  <c:v>-36.9</c:v>
                </c:pt>
                <c:pt idx="370">
                  <c:v>-36.9</c:v>
                </c:pt>
                <c:pt idx="371">
                  <c:v>-36.9166666666667</c:v>
                </c:pt>
                <c:pt idx="372">
                  <c:v>-36.95</c:v>
                </c:pt>
                <c:pt idx="373">
                  <c:v>-36.9</c:v>
                </c:pt>
                <c:pt idx="374">
                  <c:v>-36.9</c:v>
                </c:pt>
                <c:pt idx="375">
                  <c:v>-36.85</c:v>
                </c:pt>
                <c:pt idx="376">
                  <c:v>-36.8</c:v>
                </c:pt>
                <c:pt idx="377">
                  <c:v>-36.7</c:v>
                </c:pt>
                <c:pt idx="378">
                  <c:v>-36.6166666666667</c:v>
                </c:pt>
                <c:pt idx="379">
                  <c:v>-36.5166666666667</c:v>
                </c:pt>
                <c:pt idx="380">
                  <c:v>-36.3666666666667</c:v>
                </c:pt>
                <c:pt idx="381">
                  <c:v>-36.25</c:v>
                </c:pt>
                <c:pt idx="382">
                  <c:v>-36.0666666666667</c:v>
                </c:pt>
                <c:pt idx="383">
                  <c:v>-35.9</c:v>
                </c:pt>
                <c:pt idx="384">
                  <c:v>-35.7166666666667</c:v>
                </c:pt>
                <c:pt idx="385">
                  <c:v>-35.5166666666667</c:v>
                </c:pt>
                <c:pt idx="386">
                  <c:v>-35.2833333333333</c:v>
                </c:pt>
                <c:pt idx="387">
                  <c:v>-35.0666666666667</c:v>
                </c:pt>
                <c:pt idx="388">
                  <c:v>-34.8166666666667</c:v>
                </c:pt>
                <c:pt idx="389">
                  <c:v>-34.55</c:v>
                </c:pt>
                <c:pt idx="390">
                  <c:v>-34.2833333333333</c:v>
                </c:pt>
                <c:pt idx="391">
                  <c:v>-34</c:v>
                </c:pt>
                <c:pt idx="392">
                  <c:v>-33.7</c:v>
                </c:pt>
                <c:pt idx="393">
                  <c:v>-33.4</c:v>
                </c:pt>
                <c:pt idx="394">
                  <c:v>-33.1</c:v>
                </c:pt>
                <c:pt idx="395">
                  <c:v>-32.8</c:v>
                </c:pt>
                <c:pt idx="396">
                  <c:v>-32.45</c:v>
                </c:pt>
                <c:pt idx="397">
                  <c:v>-32.1166666666667</c:v>
                </c:pt>
                <c:pt idx="398">
                  <c:v>-31.7666666666667</c:v>
                </c:pt>
                <c:pt idx="399">
                  <c:v>-31.3833333333333</c:v>
                </c:pt>
                <c:pt idx="400">
                  <c:v>-31.0333333333333</c:v>
                </c:pt>
                <c:pt idx="401">
                  <c:v>-30.6666666666667</c:v>
                </c:pt>
                <c:pt idx="402">
                  <c:v>-30.2833333333333</c:v>
                </c:pt>
                <c:pt idx="403">
                  <c:v>-29.8833333333333</c:v>
                </c:pt>
                <c:pt idx="404">
                  <c:v>-29.5</c:v>
                </c:pt>
                <c:pt idx="405">
                  <c:v>-29.1</c:v>
                </c:pt>
                <c:pt idx="406">
                  <c:v>-28.7</c:v>
                </c:pt>
                <c:pt idx="407">
                  <c:v>-28.3</c:v>
                </c:pt>
                <c:pt idx="408">
                  <c:v>-27.8666666666667</c:v>
                </c:pt>
                <c:pt idx="409">
                  <c:v>-27.4333333333333</c:v>
                </c:pt>
                <c:pt idx="410">
                  <c:v>-27</c:v>
                </c:pt>
                <c:pt idx="411">
                  <c:v>-26.5833333333333</c:v>
                </c:pt>
                <c:pt idx="412">
                  <c:v>-26.1166666666667</c:v>
                </c:pt>
                <c:pt idx="413">
                  <c:v>-25.6666666666667</c:v>
                </c:pt>
                <c:pt idx="414">
                  <c:v>-25.2166666666667</c:v>
                </c:pt>
                <c:pt idx="415">
                  <c:v>-24.7333333333333</c:v>
                </c:pt>
                <c:pt idx="416">
                  <c:v>-24.2666666666667</c:v>
                </c:pt>
                <c:pt idx="417">
                  <c:v>-23.7833333333333</c:v>
                </c:pt>
                <c:pt idx="418">
                  <c:v>-23.3</c:v>
                </c:pt>
                <c:pt idx="419">
                  <c:v>-22.8166666666667</c:v>
                </c:pt>
                <c:pt idx="420">
                  <c:v>-22.3166666666667</c:v>
                </c:pt>
                <c:pt idx="421">
                  <c:v>-21.8166666666667</c:v>
                </c:pt>
                <c:pt idx="422">
                  <c:v>-21.3166666666667</c:v>
                </c:pt>
                <c:pt idx="423">
                  <c:v>-20.8166666666667</c:v>
                </c:pt>
                <c:pt idx="424">
                  <c:v>-20.3</c:v>
                </c:pt>
                <c:pt idx="425">
                  <c:v>-19.8</c:v>
                </c:pt>
                <c:pt idx="426">
                  <c:v>-19.2666666666667</c:v>
                </c:pt>
                <c:pt idx="427">
                  <c:v>-18.7666666666667</c:v>
                </c:pt>
                <c:pt idx="428">
                  <c:v>-18.25</c:v>
                </c:pt>
                <c:pt idx="429">
                  <c:v>-17.75</c:v>
                </c:pt>
                <c:pt idx="430">
                  <c:v>-17.25</c:v>
                </c:pt>
                <c:pt idx="431">
                  <c:v>-16.7333333333333</c:v>
                </c:pt>
                <c:pt idx="432">
                  <c:v>-16.2166666666667</c:v>
                </c:pt>
                <c:pt idx="433">
                  <c:v>-15.6833333333333</c:v>
                </c:pt>
                <c:pt idx="434">
                  <c:v>-15.1666666666667</c:v>
                </c:pt>
                <c:pt idx="435">
                  <c:v>-14.65</c:v>
                </c:pt>
                <c:pt idx="436">
                  <c:v>-14.15</c:v>
                </c:pt>
                <c:pt idx="437">
                  <c:v>-13.6</c:v>
                </c:pt>
                <c:pt idx="438">
                  <c:v>-13.0666666666667</c:v>
                </c:pt>
                <c:pt idx="439">
                  <c:v>-12.55</c:v>
                </c:pt>
                <c:pt idx="440">
                  <c:v>-12.0166666666667</c:v>
                </c:pt>
                <c:pt idx="441">
                  <c:v>-11.4833333333333</c:v>
                </c:pt>
              </c:numCache>
            </c:numRef>
          </c:yVal>
          <c:smooth val="0"/>
        </c:ser>
        <c:axId val="92877832"/>
        <c:axId val="84742482"/>
      </c:scatterChart>
      <c:scatterChart>
        <c:scatterStyle val="line"/>
        <c:varyColors val="0"/>
        <c:ser>
          <c:idx val="1"/>
          <c:order val="1"/>
          <c:tx>
            <c:strRef>
              <c:f>"Battery voltage"</c:f>
              <c:strCache>
                <c:ptCount val="1"/>
                <c:pt idx="0">
                  <c:v>Battery voltage</c:v>
                </c:pt>
              </c:strCache>
            </c:strRef>
          </c:tx>
          <c:spPr>
            <a:solidFill>
              <a:srgbClr val="004586"/>
            </a:solidFill>
            <a:ln w="144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44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'Flight data'!$A$2:$A$443</c:f>
              <c:numCache>
                <c:formatCode>hh:mm:ss</c:formatCode>
                <c:ptCount val="442"/>
                <c:pt idx="0">
                  <c:v>0.592361111111111</c:v>
                </c:pt>
                <c:pt idx="1">
                  <c:v>0.592708333333333</c:v>
                </c:pt>
                <c:pt idx="2">
                  <c:v>0.593055555555556</c:v>
                </c:pt>
                <c:pt idx="3">
                  <c:v>0.593402777777778</c:v>
                </c:pt>
                <c:pt idx="4">
                  <c:v>0.59375</c:v>
                </c:pt>
                <c:pt idx="5">
                  <c:v>0.594097222222222</c:v>
                </c:pt>
                <c:pt idx="6">
                  <c:v>0.594444444444444</c:v>
                </c:pt>
                <c:pt idx="7">
                  <c:v>0.594791666666667</c:v>
                </c:pt>
                <c:pt idx="8">
                  <c:v>0.595138888888889</c:v>
                </c:pt>
                <c:pt idx="9">
                  <c:v>0.595486111111111</c:v>
                </c:pt>
                <c:pt idx="10">
                  <c:v>0.595833333333333</c:v>
                </c:pt>
                <c:pt idx="11">
                  <c:v>0.596180555555556</c:v>
                </c:pt>
                <c:pt idx="12">
                  <c:v>0.596527777777778</c:v>
                </c:pt>
                <c:pt idx="13">
                  <c:v>0.596875</c:v>
                </c:pt>
                <c:pt idx="14">
                  <c:v>0.597222222222222</c:v>
                </c:pt>
                <c:pt idx="15">
                  <c:v>0.597569444444445</c:v>
                </c:pt>
                <c:pt idx="16">
                  <c:v>0.597916666666667</c:v>
                </c:pt>
                <c:pt idx="17">
                  <c:v>0.598263888888889</c:v>
                </c:pt>
                <c:pt idx="18">
                  <c:v>0.598611111111111</c:v>
                </c:pt>
                <c:pt idx="19">
                  <c:v>0.598958333333333</c:v>
                </c:pt>
                <c:pt idx="20">
                  <c:v>0.599305555555556</c:v>
                </c:pt>
                <c:pt idx="21">
                  <c:v>0.599652777777778</c:v>
                </c:pt>
                <c:pt idx="22">
                  <c:v>0.6</c:v>
                </c:pt>
                <c:pt idx="23">
                  <c:v>0.600347222222222</c:v>
                </c:pt>
                <c:pt idx="24">
                  <c:v>0.600694444444444</c:v>
                </c:pt>
                <c:pt idx="25">
                  <c:v>0.601041666666667</c:v>
                </c:pt>
                <c:pt idx="26">
                  <c:v>0.601388888888889</c:v>
                </c:pt>
                <c:pt idx="27">
                  <c:v>0.601736111111111</c:v>
                </c:pt>
                <c:pt idx="28">
                  <c:v>0.602083333333333</c:v>
                </c:pt>
                <c:pt idx="29">
                  <c:v>0.602430555555556</c:v>
                </c:pt>
                <c:pt idx="30">
                  <c:v>0.602777777777778</c:v>
                </c:pt>
                <c:pt idx="31">
                  <c:v>0.603125</c:v>
                </c:pt>
                <c:pt idx="32">
                  <c:v>0.603472222222222</c:v>
                </c:pt>
                <c:pt idx="33">
                  <c:v>0.603819444444445</c:v>
                </c:pt>
                <c:pt idx="34">
                  <c:v>0.604166666666667</c:v>
                </c:pt>
                <c:pt idx="35">
                  <c:v>0.604513888888889</c:v>
                </c:pt>
                <c:pt idx="36">
                  <c:v>0.604861111111111</c:v>
                </c:pt>
                <c:pt idx="37">
                  <c:v>0.605208333333333</c:v>
                </c:pt>
                <c:pt idx="38">
                  <c:v>0.605555555555556</c:v>
                </c:pt>
                <c:pt idx="39">
                  <c:v>0.605902777777778</c:v>
                </c:pt>
                <c:pt idx="40">
                  <c:v>0.60625</c:v>
                </c:pt>
                <c:pt idx="41">
                  <c:v>0.606597222222222</c:v>
                </c:pt>
                <c:pt idx="42">
                  <c:v>0.606944444444444</c:v>
                </c:pt>
                <c:pt idx="43">
                  <c:v>0.607291666666667</c:v>
                </c:pt>
                <c:pt idx="44">
                  <c:v>0.607638888888889</c:v>
                </c:pt>
                <c:pt idx="45">
                  <c:v>0.607986111111111</c:v>
                </c:pt>
                <c:pt idx="46">
                  <c:v>0.608333333333333</c:v>
                </c:pt>
                <c:pt idx="47">
                  <c:v>0.608680555555556</c:v>
                </c:pt>
                <c:pt idx="48">
                  <c:v>0.609027777777778</c:v>
                </c:pt>
                <c:pt idx="49">
                  <c:v>0.609375</c:v>
                </c:pt>
                <c:pt idx="50">
                  <c:v>0.609722222222222</c:v>
                </c:pt>
                <c:pt idx="51">
                  <c:v>0.610069444444444</c:v>
                </c:pt>
                <c:pt idx="52">
                  <c:v>0.610416666666667</c:v>
                </c:pt>
                <c:pt idx="53">
                  <c:v>0.610763888888889</c:v>
                </c:pt>
                <c:pt idx="54">
                  <c:v>0.611111111111111</c:v>
                </c:pt>
                <c:pt idx="55">
                  <c:v>0.611458333333333</c:v>
                </c:pt>
                <c:pt idx="56">
                  <c:v>0.611805555555556</c:v>
                </c:pt>
                <c:pt idx="57">
                  <c:v>0.612152777777778</c:v>
                </c:pt>
                <c:pt idx="58">
                  <c:v>0.6125</c:v>
                </c:pt>
                <c:pt idx="59">
                  <c:v>0.612847222222222</c:v>
                </c:pt>
                <c:pt idx="60">
                  <c:v>0.613194444444445</c:v>
                </c:pt>
                <c:pt idx="61">
                  <c:v>0.613541666666667</c:v>
                </c:pt>
                <c:pt idx="62">
                  <c:v>0.613888888888889</c:v>
                </c:pt>
                <c:pt idx="63">
                  <c:v>0.614236111111111</c:v>
                </c:pt>
                <c:pt idx="64">
                  <c:v>0.614583333333333</c:v>
                </c:pt>
                <c:pt idx="65">
                  <c:v>0.614930555555556</c:v>
                </c:pt>
                <c:pt idx="66">
                  <c:v>0.615277777777778</c:v>
                </c:pt>
                <c:pt idx="67">
                  <c:v>0.615625</c:v>
                </c:pt>
                <c:pt idx="68">
                  <c:v>0.615972222222222</c:v>
                </c:pt>
                <c:pt idx="69">
                  <c:v>0.616319444444444</c:v>
                </c:pt>
                <c:pt idx="70">
                  <c:v>0.616666666666667</c:v>
                </c:pt>
                <c:pt idx="71">
                  <c:v>0.617013888888889</c:v>
                </c:pt>
                <c:pt idx="72">
                  <c:v>0.617361111111111</c:v>
                </c:pt>
                <c:pt idx="73">
                  <c:v>0.617708333333333</c:v>
                </c:pt>
                <c:pt idx="74">
                  <c:v>0.618055555555556</c:v>
                </c:pt>
                <c:pt idx="75">
                  <c:v>0.618402777777778</c:v>
                </c:pt>
                <c:pt idx="76">
                  <c:v>0.61875</c:v>
                </c:pt>
                <c:pt idx="77">
                  <c:v>0.619097222222222</c:v>
                </c:pt>
                <c:pt idx="78">
                  <c:v>0.619444444444445</c:v>
                </c:pt>
                <c:pt idx="79">
                  <c:v>0.619791666666667</c:v>
                </c:pt>
                <c:pt idx="80">
                  <c:v>0.620138888888889</c:v>
                </c:pt>
                <c:pt idx="81">
                  <c:v>0.620486111111111</c:v>
                </c:pt>
                <c:pt idx="82">
                  <c:v>0.620833333333333</c:v>
                </c:pt>
                <c:pt idx="83">
                  <c:v>0.621180555555556</c:v>
                </c:pt>
                <c:pt idx="84">
                  <c:v>0.621527777777778</c:v>
                </c:pt>
                <c:pt idx="85">
                  <c:v>0.621875</c:v>
                </c:pt>
                <c:pt idx="86">
                  <c:v>0.622222222222222</c:v>
                </c:pt>
                <c:pt idx="87">
                  <c:v>0.622569444444444</c:v>
                </c:pt>
                <c:pt idx="88">
                  <c:v>0.622916666666667</c:v>
                </c:pt>
                <c:pt idx="89">
                  <c:v>0.623263888888889</c:v>
                </c:pt>
                <c:pt idx="90">
                  <c:v>0.623611111111111</c:v>
                </c:pt>
                <c:pt idx="91">
                  <c:v>0.623958333333333</c:v>
                </c:pt>
                <c:pt idx="92">
                  <c:v>0.624305555555556</c:v>
                </c:pt>
                <c:pt idx="93">
                  <c:v>0.624652777777778</c:v>
                </c:pt>
                <c:pt idx="94">
                  <c:v>0.625</c:v>
                </c:pt>
                <c:pt idx="95">
                  <c:v>0.625347222222222</c:v>
                </c:pt>
                <c:pt idx="96">
                  <c:v>0.625694444444444</c:v>
                </c:pt>
                <c:pt idx="97">
                  <c:v>0.626041666666667</c:v>
                </c:pt>
                <c:pt idx="98">
                  <c:v>0.626388888888889</c:v>
                </c:pt>
                <c:pt idx="99">
                  <c:v>0.626736111111111</c:v>
                </c:pt>
                <c:pt idx="100">
                  <c:v>0.627083333333333</c:v>
                </c:pt>
                <c:pt idx="101">
                  <c:v>0.627430555555556</c:v>
                </c:pt>
                <c:pt idx="102">
                  <c:v>0.627777777777778</c:v>
                </c:pt>
                <c:pt idx="103">
                  <c:v>0.628125</c:v>
                </c:pt>
                <c:pt idx="104">
                  <c:v>0.628472222222222</c:v>
                </c:pt>
                <c:pt idx="105">
                  <c:v>0.628819444444445</c:v>
                </c:pt>
                <c:pt idx="106">
                  <c:v>0.629166666666667</c:v>
                </c:pt>
                <c:pt idx="107">
                  <c:v>0.629513888888889</c:v>
                </c:pt>
                <c:pt idx="108">
                  <c:v>0.629861111111111</c:v>
                </c:pt>
                <c:pt idx="109">
                  <c:v>0.630208333333333</c:v>
                </c:pt>
                <c:pt idx="110">
                  <c:v>0.630555555555556</c:v>
                </c:pt>
                <c:pt idx="111">
                  <c:v>0.630902777777778</c:v>
                </c:pt>
                <c:pt idx="112">
                  <c:v>0.63125</c:v>
                </c:pt>
                <c:pt idx="113">
                  <c:v>0.631597222222222</c:v>
                </c:pt>
                <c:pt idx="114">
                  <c:v>0.631944444444444</c:v>
                </c:pt>
                <c:pt idx="115">
                  <c:v>0.632291666666667</c:v>
                </c:pt>
                <c:pt idx="116">
                  <c:v>0.632638888888889</c:v>
                </c:pt>
                <c:pt idx="117">
                  <c:v>0.632986111111111</c:v>
                </c:pt>
                <c:pt idx="118">
                  <c:v>0.633333333333333</c:v>
                </c:pt>
                <c:pt idx="119">
                  <c:v>0.633680555555556</c:v>
                </c:pt>
                <c:pt idx="120">
                  <c:v>0.634027777777778</c:v>
                </c:pt>
                <c:pt idx="121">
                  <c:v>0.634375</c:v>
                </c:pt>
                <c:pt idx="122">
                  <c:v>0.634722222222222</c:v>
                </c:pt>
                <c:pt idx="123">
                  <c:v>0.635069444444445</c:v>
                </c:pt>
                <c:pt idx="124">
                  <c:v>0.635416666666667</c:v>
                </c:pt>
                <c:pt idx="125">
                  <c:v>0.635763888888889</c:v>
                </c:pt>
                <c:pt idx="126">
                  <c:v>0.636111111111111</c:v>
                </c:pt>
                <c:pt idx="127">
                  <c:v>0.636458333333333</c:v>
                </c:pt>
                <c:pt idx="128">
                  <c:v>0.636805555555556</c:v>
                </c:pt>
                <c:pt idx="129">
                  <c:v>0.637152777777778</c:v>
                </c:pt>
                <c:pt idx="130">
                  <c:v>0.6375</c:v>
                </c:pt>
                <c:pt idx="131">
                  <c:v>0.637847222222222</c:v>
                </c:pt>
                <c:pt idx="132">
                  <c:v>0.638194444444444</c:v>
                </c:pt>
                <c:pt idx="133">
                  <c:v>0.638541666666667</c:v>
                </c:pt>
                <c:pt idx="134">
                  <c:v>0.638888888888889</c:v>
                </c:pt>
                <c:pt idx="135">
                  <c:v>0.639236111111111</c:v>
                </c:pt>
                <c:pt idx="136">
                  <c:v>0.639583333333333</c:v>
                </c:pt>
                <c:pt idx="137">
                  <c:v>0.639930555555556</c:v>
                </c:pt>
                <c:pt idx="138">
                  <c:v>0.640277777777778</c:v>
                </c:pt>
                <c:pt idx="139">
                  <c:v>0.640625</c:v>
                </c:pt>
                <c:pt idx="140">
                  <c:v>0.640972222222222</c:v>
                </c:pt>
                <c:pt idx="141">
                  <c:v>0.641319444444444</c:v>
                </c:pt>
                <c:pt idx="142">
                  <c:v>0.641666666666667</c:v>
                </c:pt>
                <c:pt idx="143">
                  <c:v>0.642013888888889</c:v>
                </c:pt>
                <c:pt idx="144">
                  <c:v>0.642361111111111</c:v>
                </c:pt>
                <c:pt idx="145">
                  <c:v>0.642708333333333</c:v>
                </c:pt>
                <c:pt idx="146">
                  <c:v>0.643055555555556</c:v>
                </c:pt>
                <c:pt idx="147">
                  <c:v>0.643402777777778</c:v>
                </c:pt>
                <c:pt idx="148">
                  <c:v>0.64375</c:v>
                </c:pt>
                <c:pt idx="149">
                  <c:v>0.644097222222222</c:v>
                </c:pt>
                <c:pt idx="150">
                  <c:v>0.644444444444445</c:v>
                </c:pt>
                <c:pt idx="151">
                  <c:v>0.644791666666667</c:v>
                </c:pt>
                <c:pt idx="152">
                  <c:v>0.645138888888889</c:v>
                </c:pt>
                <c:pt idx="153">
                  <c:v>0.645486111111111</c:v>
                </c:pt>
                <c:pt idx="154">
                  <c:v>0.645833333333333</c:v>
                </c:pt>
                <c:pt idx="155">
                  <c:v>0.646180555555556</c:v>
                </c:pt>
                <c:pt idx="156">
                  <c:v>0.646527777777778</c:v>
                </c:pt>
                <c:pt idx="157">
                  <c:v>0.646875</c:v>
                </c:pt>
                <c:pt idx="158">
                  <c:v>0.647222222222222</c:v>
                </c:pt>
                <c:pt idx="159">
                  <c:v>0.647569444444444</c:v>
                </c:pt>
                <c:pt idx="160">
                  <c:v>0.647916666666667</c:v>
                </c:pt>
                <c:pt idx="161">
                  <c:v>0.648263888888889</c:v>
                </c:pt>
                <c:pt idx="162">
                  <c:v>0.648611111111111</c:v>
                </c:pt>
                <c:pt idx="163">
                  <c:v>0.648958333333333</c:v>
                </c:pt>
                <c:pt idx="164">
                  <c:v>0.649305555555556</c:v>
                </c:pt>
                <c:pt idx="165">
                  <c:v>0.649652777777778</c:v>
                </c:pt>
                <c:pt idx="166">
                  <c:v>0.65</c:v>
                </c:pt>
                <c:pt idx="167">
                  <c:v>0.650347222222222</c:v>
                </c:pt>
                <c:pt idx="168">
                  <c:v>0.650694444444445</c:v>
                </c:pt>
                <c:pt idx="169">
                  <c:v>0.651041666666667</c:v>
                </c:pt>
                <c:pt idx="170">
                  <c:v>0.651388888888889</c:v>
                </c:pt>
                <c:pt idx="171">
                  <c:v>0.651736111111111</c:v>
                </c:pt>
                <c:pt idx="172">
                  <c:v>0.652083333333333</c:v>
                </c:pt>
                <c:pt idx="173">
                  <c:v>0.652430555555556</c:v>
                </c:pt>
                <c:pt idx="174">
                  <c:v>0.652777777777778</c:v>
                </c:pt>
                <c:pt idx="175">
                  <c:v>0.653125</c:v>
                </c:pt>
                <c:pt idx="176">
                  <c:v>0.653472222222222</c:v>
                </c:pt>
                <c:pt idx="177">
                  <c:v>0.653819444444444</c:v>
                </c:pt>
                <c:pt idx="178">
                  <c:v>0.654166666666667</c:v>
                </c:pt>
                <c:pt idx="179">
                  <c:v>0.654513888888889</c:v>
                </c:pt>
                <c:pt idx="180">
                  <c:v>0.654861111111111</c:v>
                </c:pt>
                <c:pt idx="181">
                  <c:v>0.655208333333333</c:v>
                </c:pt>
                <c:pt idx="182">
                  <c:v>0.655555555555556</c:v>
                </c:pt>
                <c:pt idx="183">
                  <c:v>0.655902777777778</c:v>
                </c:pt>
                <c:pt idx="184">
                  <c:v>0.65625</c:v>
                </c:pt>
                <c:pt idx="185">
                  <c:v>0.656597222222222</c:v>
                </c:pt>
                <c:pt idx="186">
                  <c:v>0.656944444444444</c:v>
                </c:pt>
                <c:pt idx="187">
                  <c:v>0.657291666666667</c:v>
                </c:pt>
                <c:pt idx="188">
                  <c:v>0.657638888888889</c:v>
                </c:pt>
                <c:pt idx="189">
                  <c:v>0.657986111111111</c:v>
                </c:pt>
                <c:pt idx="190">
                  <c:v>0.658333333333333</c:v>
                </c:pt>
                <c:pt idx="191">
                  <c:v>0.658680555555556</c:v>
                </c:pt>
                <c:pt idx="192">
                  <c:v>0.659027777777778</c:v>
                </c:pt>
                <c:pt idx="193">
                  <c:v>0.659375</c:v>
                </c:pt>
                <c:pt idx="194">
                  <c:v>0.659722222222222</c:v>
                </c:pt>
                <c:pt idx="195">
                  <c:v>0.660069444444445</c:v>
                </c:pt>
                <c:pt idx="196">
                  <c:v>0.660416666666667</c:v>
                </c:pt>
                <c:pt idx="197">
                  <c:v>0.660763888888889</c:v>
                </c:pt>
                <c:pt idx="198">
                  <c:v>0.661111111111111</c:v>
                </c:pt>
                <c:pt idx="199">
                  <c:v>0.661458333333333</c:v>
                </c:pt>
                <c:pt idx="200">
                  <c:v>0.661805555555556</c:v>
                </c:pt>
                <c:pt idx="201">
                  <c:v>0.662152777777778</c:v>
                </c:pt>
                <c:pt idx="202">
                  <c:v>0.6625</c:v>
                </c:pt>
                <c:pt idx="203">
                  <c:v>0.662847222222222</c:v>
                </c:pt>
                <c:pt idx="204">
                  <c:v>0.663194444444444</c:v>
                </c:pt>
                <c:pt idx="205">
                  <c:v>0.663541666666667</c:v>
                </c:pt>
                <c:pt idx="206">
                  <c:v>0.663888888888889</c:v>
                </c:pt>
                <c:pt idx="207">
                  <c:v>0.664236111111111</c:v>
                </c:pt>
                <c:pt idx="208">
                  <c:v>0.664583333333333</c:v>
                </c:pt>
                <c:pt idx="209">
                  <c:v>0.664930555555556</c:v>
                </c:pt>
                <c:pt idx="210">
                  <c:v>0.665277777777778</c:v>
                </c:pt>
                <c:pt idx="211">
                  <c:v>0.665625</c:v>
                </c:pt>
                <c:pt idx="212">
                  <c:v>0.665972222222222</c:v>
                </c:pt>
                <c:pt idx="213">
                  <c:v>0.666319444444445</c:v>
                </c:pt>
                <c:pt idx="214">
                  <c:v>0.666666666666667</c:v>
                </c:pt>
                <c:pt idx="215">
                  <c:v>0.667013888888889</c:v>
                </c:pt>
                <c:pt idx="216">
                  <c:v>0.667361111111111</c:v>
                </c:pt>
                <c:pt idx="217">
                  <c:v>0.667708333333333</c:v>
                </c:pt>
                <c:pt idx="218">
                  <c:v>0.668055555555556</c:v>
                </c:pt>
                <c:pt idx="219">
                  <c:v>0.668402777777778</c:v>
                </c:pt>
                <c:pt idx="220">
                  <c:v>0.66875</c:v>
                </c:pt>
                <c:pt idx="221">
                  <c:v>0.669097222222222</c:v>
                </c:pt>
                <c:pt idx="222">
                  <c:v>0.669444444444445</c:v>
                </c:pt>
                <c:pt idx="223">
                  <c:v>0.669791666666667</c:v>
                </c:pt>
                <c:pt idx="224">
                  <c:v>0.670138888888889</c:v>
                </c:pt>
                <c:pt idx="225">
                  <c:v>0.670486111111111</c:v>
                </c:pt>
                <c:pt idx="226">
                  <c:v>0.670833333333333</c:v>
                </c:pt>
                <c:pt idx="227">
                  <c:v>0.671180555555556</c:v>
                </c:pt>
                <c:pt idx="228">
                  <c:v>0.671527777777778</c:v>
                </c:pt>
                <c:pt idx="229">
                  <c:v>0.671875</c:v>
                </c:pt>
                <c:pt idx="230">
                  <c:v>0.672222222222222</c:v>
                </c:pt>
                <c:pt idx="231">
                  <c:v>0.672569444444444</c:v>
                </c:pt>
                <c:pt idx="232">
                  <c:v>0.672916666666667</c:v>
                </c:pt>
                <c:pt idx="233">
                  <c:v>0.673263888888889</c:v>
                </c:pt>
                <c:pt idx="234">
                  <c:v>0.673611111111111</c:v>
                </c:pt>
                <c:pt idx="235">
                  <c:v>0.673958333333333</c:v>
                </c:pt>
                <c:pt idx="236">
                  <c:v>0.674305555555556</c:v>
                </c:pt>
                <c:pt idx="237">
                  <c:v>0.674652777777778</c:v>
                </c:pt>
                <c:pt idx="238">
                  <c:v>0.675</c:v>
                </c:pt>
                <c:pt idx="239">
                  <c:v>0.675347222222222</c:v>
                </c:pt>
                <c:pt idx="240">
                  <c:v>0.675694444444445</c:v>
                </c:pt>
                <c:pt idx="241">
                  <c:v>0.676041666666667</c:v>
                </c:pt>
                <c:pt idx="242">
                  <c:v>0.676388888888889</c:v>
                </c:pt>
                <c:pt idx="243">
                  <c:v>0.676736111111111</c:v>
                </c:pt>
                <c:pt idx="244">
                  <c:v>0.677083333333333</c:v>
                </c:pt>
                <c:pt idx="245">
                  <c:v>0.677430555555556</c:v>
                </c:pt>
                <c:pt idx="246">
                  <c:v>0.677777777777778</c:v>
                </c:pt>
                <c:pt idx="247">
                  <c:v>0.678125</c:v>
                </c:pt>
                <c:pt idx="248">
                  <c:v>0.678472222222222</c:v>
                </c:pt>
                <c:pt idx="249">
                  <c:v>0.678819444444444</c:v>
                </c:pt>
                <c:pt idx="250">
                  <c:v>0.679166666666667</c:v>
                </c:pt>
                <c:pt idx="251">
                  <c:v>0.679513888888889</c:v>
                </c:pt>
                <c:pt idx="252">
                  <c:v>0.679861111111111</c:v>
                </c:pt>
                <c:pt idx="253">
                  <c:v>0.680208333333333</c:v>
                </c:pt>
                <c:pt idx="254">
                  <c:v>0.680555555555556</c:v>
                </c:pt>
                <c:pt idx="255">
                  <c:v>0.680902777777778</c:v>
                </c:pt>
                <c:pt idx="256">
                  <c:v>0.68125</c:v>
                </c:pt>
                <c:pt idx="257">
                  <c:v>0.681597222222222</c:v>
                </c:pt>
                <c:pt idx="258">
                  <c:v>0.681944444444445</c:v>
                </c:pt>
                <c:pt idx="259">
                  <c:v>0.682291666666667</c:v>
                </c:pt>
                <c:pt idx="260">
                  <c:v>0.682638888888889</c:v>
                </c:pt>
                <c:pt idx="261">
                  <c:v>0.682986111111111</c:v>
                </c:pt>
                <c:pt idx="262">
                  <c:v>0.683333333333333</c:v>
                </c:pt>
                <c:pt idx="263">
                  <c:v>0.683680555555556</c:v>
                </c:pt>
                <c:pt idx="264">
                  <c:v>0.684027777777778</c:v>
                </c:pt>
                <c:pt idx="265">
                  <c:v>0.684375</c:v>
                </c:pt>
                <c:pt idx="266">
                  <c:v>0.684722222222222</c:v>
                </c:pt>
                <c:pt idx="267">
                  <c:v>0.685069444444445</c:v>
                </c:pt>
                <c:pt idx="268">
                  <c:v>0.685416666666667</c:v>
                </c:pt>
                <c:pt idx="269">
                  <c:v>0.685763888888889</c:v>
                </c:pt>
                <c:pt idx="270">
                  <c:v>0.686111111111111</c:v>
                </c:pt>
                <c:pt idx="271">
                  <c:v>0.686458333333333</c:v>
                </c:pt>
                <c:pt idx="272">
                  <c:v>0.686805555555556</c:v>
                </c:pt>
                <c:pt idx="273">
                  <c:v>0.687152777777778</c:v>
                </c:pt>
                <c:pt idx="274">
                  <c:v>0.6875</c:v>
                </c:pt>
                <c:pt idx="275">
                  <c:v>0.687847222222222</c:v>
                </c:pt>
                <c:pt idx="276">
                  <c:v>0.688194444444444</c:v>
                </c:pt>
                <c:pt idx="277">
                  <c:v>0.688541666666667</c:v>
                </c:pt>
                <c:pt idx="278">
                  <c:v>0.688888888888889</c:v>
                </c:pt>
                <c:pt idx="279">
                  <c:v>0.689236111111111</c:v>
                </c:pt>
                <c:pt idx="280">
                  <c:v>0.689583333333333</c:v>
                </c:pt>
                <c:pt idx="281">
                  <c:v>0.689930555555556</c:v>
                </c:pt>
                <c:pt idx="282">
                  <c:v>0.690277777777778</c:v>
                </c:pt>
                <c:pt idx="283">
                  <c:v>0.690625</c:v>
                </c:pt>
                <c:pt idx="284">
                  <c:v>0.690972222222222</c:v>
                </c:pt>
                <c:pt idx="285">
                  <c:v>0.691319444444445</c:v>
                </c:pt>
                <c:pt idx="286">
                  <c:v>0.691666666666667</c:v>
                </c:pt>
                <c:pt idx="287">
                  <c:v>0.692013888888889</c:v>
                </c:pt>
                <c:pt idx="288">
                  <c:v>0.692361111111111</c:v>
                </c:pt>
                <c:pt idx="289">
                  <c:v>0.692708333333333</c:v>
                </c:pt>
                <c:pt idx="290">
                  <c:v>0.693055555555556</c:v>
                </c:pt>
                <c:pt idx="291">
                  <c:v>0.693402777777778</c:v>
                </c:pt>
                <c:pt idx="292">
                  <c:v>0.69375</c:v>
                </c:pt>
                <c:pt idx="293">
                  <c:v>0.694097222222222</c:v>
                </c:pt>
                <c:pt idx="294">
                  <c:v>0.694444444444444</c:v>
                </c:pt>
                <c:pt idx="295">
                  <c:v>0.694791666666667</c:v>
                </c:pt>
                <c:pt idx="296">
                  <c:v>0.695138888888889</c:v>
                </c:pt>
                <c:pt idx="297">
                  <c:v>0.695486111111111</c:v>
                </c:pt>
                <c:pt idx="298">
                  <c:v>0.695833333333333</c:v>
                </c:pt>
                <c:pt idx="299">
                  <c:v>0.696180555555556</c:v>
                </c:pt>
                <c:pt idx="300">
                  <c:v>0.696527777777778</c:v>
                </c:pt>
                <c:pt idx="301">
                  <c:v>0.696875</c:v>
                </c:pt>
                <c:pt idx="302">
                  <c:v>0.697222222222222</c:v>
                </c:pt>
                <c:pt idx="303">
                  <c:v>0.697569444444445</c:v>
                </c:pt>
                <c:pt idx="304">
                  <c:v>0.697916666666667</c:v>
                </c:pt>
                <c:pt idx="305">
                  <c:v>0.698263888888889</c:v>
                </c:pt>
                <c:pt idx="306">
                  <c:v>0.698611111111111</c:v>
                </c:pt>
                <c:pt idx="307">
                  <c:v>0.698958333333333</c:v>
                </c:pt>
                <c:pt idx="308">
                  <c:v>0.699305555555556</c:v>
                </c:pt>
                <c:pt idx="309">
                  <c:v>0.699652777777778</c:v>
                </c:pt>
                <c:pt idx="310">
                  <c:v>0.7</c:v>
                </c:pt>
                <c:pt idx="311">
                  <c:v>0.700347222222222</c:v>
                </c:pt>
                <c:pt idx="312">
                  <c:v>0.700694444444445</c:v>
                </c:pt>
                <c:pt idx="313">
                  <c:v>0.701041666666667</c:v>
                </c:pt>
                <c:pt idx="314">
                  <c:v>0.701388888888889</c:v>
                </c:pt>
                <c:pt idx="315">
                  <c:v>0.701736111111111</c:v>
                </c:pt>
                <c:pt idx="316">
                  <c:v>0.702083333333333</c:v>
                </c:pt>
                <c:pt idx="317">
                  <c:v>0.702430555555556</c:v>
                </c:pt>
                <c:pt idx="318">
                  <c:v>0.702777777777778</c:v>
                </c:pt>
                <c:pt idx="319">
                  <c:v>0.703125</c:v>
                </c:pt>
                <c:pt idx="320">
                  <c:v>0.703472222222222</c:v>
                </c:pt>
                <c:pt idx="321">
                  <c:v>0.703819444444444</c:v>
                </c:pt>
                <c:pt idx="322">
                  <c:v>0.704166666666667</c:v>
                </c:pt>
                <c:pt idx="323">
                  <c:v>0.704513888888889</c:v>
                </c:pt>
                <c:pt idx="324">
                  <c:v>0.704861111111111</c:v>
                </c:pt>
                <c:pt idx="325">
                  <c:v>0.705208333333333</c:v>
                </c:pt>
                <c:pt idx="326">
                  <c:v>0.705555555555556</c:v>
                </c:pt>
                <c:pt idx="327">
                  <c:v>0.705902777777778</c:v>
                </c:pt>
                <c:pt idx="328">
                  <c:v>0.70625</c:v>
                </c:pt>
                <c:pt idx="329">
                  <c:v>0.706597222222222</c:v>
                </c:pt>
                <c:pt idx="330">
                  <c:v>0.706944444444445</c:v>
                </c:pt>
                <c:pt idx="331">
                  <c:v>0.707291666666667</c:v>
                </c:pt>
                <c:pt idx="332">
                  <c:v>0.707638888888889</c:v>
                </c:pt>
                <c:pt idx="333">
                  <c:v>0.707986111111111</c:v>
                </c:pt>
                <c:pt idx="334">
                  <c:v>0.708333333333333</c:v>
                </c:pt>
                <c:pt idx="335">
                  <c:v>0.708680555555556</c:v>
                </c:pt>
                <c:pt idx="336">
                  <c:v>0.709027777777778</c:v>
                </c:pt>
                <c:pt idx="337">
                  <c:v>0.709375</c:v>
                </c:pt>
                <c:pt idx="338">
                  <c:v>0.709722222222222</c:v>
                </c:pt>
                <c:pt idx="339">
                  <c:v>0.710069444444444</c:v>
                </c:pt>
                <c:pt idx="340">
                  <c:v>0.710416666666667</c:v>
                </c:pt>
                <c:pt idx="341">
                  <c:v>0.710763888888889</c:v>
                </c:pt>
                <c:pt idx="342">
                  <c:v>0.711111111111111</c:v>
                </c:pt>
                <c:pt idx="343">
                  <c:v>0.711458333333333</c:v>
                </c:pt>
                <c:pt idx="344">
                  <c:v>0.711805555555556</c:v>
                </c:pt>
                <c:pt idx="345">
                  <c:v>0.712152777777778</c:v>
                </c:pt>
                <c:pt idx="346">
                  <c:v>0.7125</c:v>
                </c:pt>
                <c:pt idx="347">
                  <c:v>0.712847222222222</c:v>
                </c:pt>
                <c:pt idx="348">
                  <c:v>0.713194444444445</c:v>
                </c:pt>
                <c:pt idx="349">
                  <c:v>0.713541666666667</c:v>
                </c:pt>
                <c:pt idx="350">
                  <c:v>0.713888888888889</c:v>
                </c:pt>
                <c:pt idx="351">
                  <c:v>0.714236111111111</c:v>
                </c:pt>
                <c:pt idx="352">
                  <c:v>0.714583333333333</c:v>
                </c:pt>
                <c:pt idx="353">
                  <c:v>0.714930555555556</c:v>
                </c:pt>
                <c:pt idx="354">
                  <c:v>0.715277777777778</c:v>
                </c:pt>
                <c:pt idx="355">
                  <c:v>0.715625</c:v>
                </c:pt>
                <c:pt idx="356">
                  <c:v>0.715972222222222</c:v>
                </c:pt>
                <c:pt idx="357">
                  <c:v>0.716319444444445</c:v>
                </c:pt>
                <c:pt idx="358">
                  <c:v>0.716666666666667</c:v>
                </c:pt>
                <c:pt idx="359">
                  <c:v>0.717013888888889</c:v>
                </c:pt>
                <c:pt idx="360">
                  <c:v>0.717361111111111</c:v>
                </c:pt>
                <c:pt idx="361">
                  <c:v>0.717708333333333</c:v>
                </c:pt>
                <c:pt idx="362">
                  <c:v>0.718055555555556</c:v>
                </c:pt>
                <c:pt idx="363">
                  <c:v>0.718402777777778</c:v>
                </c:pt>
                <c:pt idx="364">
                  <c:v>0.71875</c:v>
                </c:pt>
                <c:pt idx="365">
                  <c:v>0.719097222222222</c:v>
                </c:pt>
                <c:pt idx="366">
                  <c:v>0.719444444444444</c:v>
                </c:pt>
                <c:pt idx="367">
                  <c:v>0.719791666666667</c:v>
                </c:pt>
                <c:pt idx="368">
                  <c:v>0.720138888888889</c:v>
                </c:pt>
                <c:pt idx="369">
                  <c:v>0.720486111111111</c:v>
                </c:pt>
                <c:pt idx="370">
                  <c:v>0.720833333333333</c:v>
                </c:pt>
                <c:pt idx="371">
                  <c:v>0.721180555555556</c:v>
                </c:pt>
                <c:pt idx="372">
                  <c:v>0.721527777777778</c:v>
                </c:pt>
                <c:pt idx="373">
                  <c:v>0.721875</c:v>
                </c:pt>
                <c:pt idx="374">
                  <c:v>0.722222222222222</c:v>
                </c:pt>
                <c:pt idx="375">
                  <c:v>0.722569444444445</c:v>
                </c:pt>
                <c:pt idx="376">
                  <c:v>0.722916666666667</c:v>
                </c:pt>
                <c:pt idx="377">
                  <c:v>0.723263888888889</c:v>
                </c:pt>
                <c:pt idx="378">
                  <c:v>0.723611111111111</c:v>
                </c:pt>
                <c:pt idx="379">
                  <c:v>0.723958333333333</c:v>
                </c:pt>
                <c:pt idx="380">
                  <c:v>0.724305555555556</c:v>
                </c:pt>
                <c:pt idx="381">
                  <c:v>0.724652777777778</c:v>
                </c:pt>
                <c:pt idx="382">
                  <c:v>0.725</c:v>
                </c:pt>
                <c:pt idx="383">
                  <c:v>0.725347222222222</c:v>
                </c:pt>
                <c:pt idx="384">
                  <c:v>0.725694444444444</c:v>
                </c:pt>
                <c:pt idx="385">
                  <c:v>0.726041666666667</c:v>
                </c:pt>
                <c:pt idx="386">
                  <c:v>0.726388888888889</c:v>
                </c:pt>
                <c:pt idx="387">
                  <c:v>0.726736111111111</c:v>
                </c:pt>
                <c:pt idx="388">
                  <c:v>0.727083333333333</c:v>
                </c:pt>
                <c:pt idx="389">
                  <c:v>0.727430555555556</c:v>
                </c:pt>
                <c:pt idx="390">
                  <c:v>0.727777777777778</c:v>
                </c:pt>
                <c:pt idx="391">
                  <c:v>0.728125</c:v>
                </c:pt>
                <c:pt idx="392">
                  <c:v>0.728472222222222</c:v>
                </c:pt>
                <c:pt idx="393">
                  <c:v>0.728819444444445</c:v>
                </c:pt>
                <c:pt idx="394">
                  <c:v>0.729166666666667</c:v>
                </c:pt>
                <c:pt idx="395">
                  <c:v>0.729513888888889</c:v>
                </c:pt>
                <c:pt idx="396">
                  <c:v>0.729861111111111</c:v>
                </c:pt>
                <c:pt idx="397">
                  <c:v>0.730208333333333</c:v>
                </c:pt>
                <c:pt idx="398">
                  <c:v>0.730555555555556</c:v>
                </c:pt>
                <c:pt idx="399">
                  <c:v>0.730902777777778</c:v>
                </c:pt>
                <c:pt idx="400">
                  <c:v>0.73125</c:v>
                </c:pt>
                <c:pt idx="401">
                  <c:v>0.731597222222222</c:v>
                </c:pt>
                <c:pt idx="402">
                  <c:v>0.731944444444445</c:v>
                </c:pt>
                <c:pt idx="403">
                  <c:v>0.732291666666667</c:v>
                </c:pt>
                <c:pt idx="404">
                  <c:v>0.732638888888889</c:v>
                </c:pt>
                <c:pt idx="405">
                  <c:v>0.732986111111111</c:v>
                </c:pt>
                <c:pt idx="406">
                  <c:v>0.733333333333333</c:v>
                </c:pt>
                <c:pt idx="407">
                  <c:v>0.733680555555556</c:v>
                </c:pt>
                <c:pt idx="408">
                  <c:v>0.734027777777778</c:v>
                </c:pt>
                <c:pt idx="409">
                  <c:v>0.734375</c:v>
                </c:pt>
                <c:pt idx="410">
                  <c:v>0.734722222222222</c:v>
                </c:pt>
                <c:pt idx="411">
                  <c:v>0.735069444444444</c:v>
                </c:pt>
                <c:pt idx="412">
                  <c:v>0.735416666666667</c:v>
                </c:pt>
                <c:pt idx="413">
                  <c:v>0.735763888888889</c:v>
                </c:pt>
                <c:pt idx="414">
                  <c:v>0.736111111111111</c:v>
                </c:pt>
                <c:pt idx="415">
                  <c:v>0.736458333333333</c:v>
                </c:pt>
                <c:pt idx="416">
                  <c:v>0.736805555555556</c:v>
                </c:pt>
                <c:pt idx="417">
                  <c:v>0.737152777777778</c:v>
                </c:pt>
                <c:pt idx="418">
                  <c:v>0.7375</c:v>
                </c:pt>
                <c:pt idx="419">
                  <c:v>0.737847222222222</c:v>
                </c:pt>
                <c:pt idx="420">
                  <c:v>0.738194444444445</c:v>
                </c:pt>
                <c:pt idx="421">
                  <c:v>0.738541666666667</c:v>
                </c:pt>
                <c:pt idx="422">
                  <c:v>0.738888888888889</c:v>
                </c:pt>
                <c:pt idx="423">
                  <c:v>0.739236111111111</c:v>
                </c:pt>
                <c:pt idx="424">
                  <c:v>0.739583333333333</c:v>
                </c:pt>
                <c:pt idx="425">
                  <c:v>0.739930555555556</c:v>
                </c:pt>
                <c:pt idx="426">
                  <c:v>0.740277777777778</c:v>
                </c:pt>
                <c:pt idx="427">
                  <c:v>0.740625</c:v>
                </c:pt>
                <c:pt idx="428">
                  <c:v>0.740972222222222</c:v>
                </c:pt>
                <c:pt idx="429">
                  <c:v>0.741319444444444</c:v>
                </c:pt>
                <c:pt idx="430">
                  <c:v>0.741666666666667</c:v>
                </c:pt>
                <c:pt idx="431">
                  <c:v>0.742013888888889</c:v>
                </c:pt>
                <c:pt idx="432">
                  <c:v>0.742361111111111</c:v>
                </c:pt>
                <c:pt idx="433">
                  <c:v>0.742708333333333</c:v>
                </c:pt>
                <c:pt idx="434">
                  <c:v>0.743055555555556</c:v>
                </c:pt>
                <c:pt idx="435">
                  <c:v>0.743402777777778</c:v>
                </c:pt>
                <c:pt idx="436">
                  <c:v>0.74375</c:v>
                </c:pt>
                <c:pt idx="437">
                  <c:v>0.744097222222222</c:v>
                </c:pt>
                <c:pt idx="438">
                  <c:v>0.744444444444445</c:v>
                </c:pt>
                <c:pt idx="439">
                  <c:v>0.744791666666667</c:v>
                </c:pt>
                <c:pt idx="440">
                  <c:v>0.745138888888889</c:v>
                </c:pt>
                <c:pt idx="441">
                  <c:v>0.745486111111111</c:v>
                </c:pt>
              </c:numCache>
            </c:numRef>
          </c:xVal>
          <c:yVal>
            <c:numRef>
              <c:f>'Flight data'!$E$2:$E$443</c:f>
              <c:numCache>
                <c:formatCode>0.00</c:formatCode>
                <c:ptCount val="442"/>
                <c:pt idx="0">
                  <c:v>4.176</c:v>
                </c:pt>
                <c:pt idx="1">
                  <c:v>4.176</c:v>
                </c:pt>
                <c:pt idx="2">
                  <c:v>4.176</c:v>
                </c:pt>
                <c:pt idx="3">
                  <c:v>4.176</c:v>
                </c:pt>
                <c:pt idx="4">
                  <c:v>4.176</c:v>
                </c:pt>
                <c:pt idx="5">
                  <c:v>4.17466666666667</c:v>
                </c:pt>
                <c:pt idx="6">
                  <c:v>4.17533333333333</c:v>
                </c:pt>
                <c:pt idx="7">
                  <c:v>4.17333333333333</c:v>
                </c:pt>
                <c:pt idx="8">
                  <c:v>4.17266666666667</c:v>
                </c:pt>
                <c:pt idx="9">
                  <c:v>4.172</c:v>
                </c:pt>
                <c:pt idx="10">
                  <c:v>4.172</c:v>
                </c:pt>
                <c:pt idx="11">
                  <c:v>4.172</c:v>
                </c:pt>
                <c:pt idx="12">
                  <c:v>4.172</c:v>
                </c:pt>
                <c:pt idx="13">
                  <c:v>4.172</c:v>
                </c:pt>
                <c:pt idx="14">
                  <c:v>4.172</c:v>
                </c:pt>
                <c:pt idx="15">
                  <c:v>4.172</c:v>
                </c:pt>
                <c:pt idx="16">
                  <c:v>4.17133333333333</c:v>
                </c:pt>
                <c:pt idx="17">
                  <c:v>4.16933333333333</c:v>
                </c:pt>
                <c:pt idx="18">
                  <c:v>4.16866666666667</c:v>
                </c:pt>
                <c:pt idx="19">
                  <c:v>4.168</c:v>
                </c:pt>
                <c:pt idx="20">
                  <c:v>4.168</c:v>
                </c:pt>
                <c:pt idx="21">
                  <c:v>4.168</c:v>
                </c:pt>
                <c:pt idx="22">
                  <c:v>4.168</c:v>
                </c:pt>
                <c:pt idx="23">
                  <c:v>4.168</c:v>
                </c:pt>
                <c:pt idx="24">
                  <c:v>4.168</c:v>
                </c:pt>
                <c:pt idx="25">
                  <c:v>4.166</c:v>
                </c:pt>
                <c:pt idx="26">
                  <c:v>4.16666666666667</c:v>
                </c:pt>
                <c:pt idx="27">
                  <c:v>4.164</c:v>
                </c:pt>
                <c:pt idx="28">
                  <c:v>4.164</c:v>
                </c:pt>
                <c:pt idx="29">
                  <c:v>4.164</c:v>
                </c:pt>
                <c:pt idx="30">
                  <c:v>4.164</c:v>
                </c:pt>
                <c:pt idx="31">
                  <c:v>4.164</c:v>
                </c:pt>
                <c:pt idx="32">
                  <c:v>4.164</c:v>
                </c:pt>
                <c:pt idx="33">
                  <c:v>4.164</c:v>
                </c:pt>
                <c:pt idx="34">
                  <c:v>4.164</c:v>
                </c:pt>
                <c:pt idx="35">
                  <c:v>4.16266666666667</c:v>
                </c:pt>
                <c:pt idx="36">
                  <c:v>4.16266666666667</c:v>
                </c:pt>
                <c:pt idx="37">
                  <c:v>4.16066666666667</c:v>
                </c:pt>
                <c:pt idx="38">
                  <c:v>4.16</c:v>
                </c:pt>
                <c:pt idx="39">
                  <c:v>4.16</c:v>
                </c:pt>
                <c:pt idx="40">
                  <c:v>4.16</c:v>
                </c:pt>
                <c:pt idx="41">
                  <c:v>4.16</c:v>
                </c:pt>
                <c:pt idx="42">
                  <c:v>4.16</c:v>
                </c:pt>
                <c:pt idx="43">
                  <c:v>4.16</c:v>
                </c:pt>
                <c:pt idx="44">
                  <c:v>4.15933333333333</c:v>
                </c:pt>
                <c:pt idx="45">
                  <c:v>4.158</c:v>
                </c:pt>
                <c:pt idx="46">
                  <c:v>4.15733333333333</c:v>
                </c:pt>
                <c:pt idx="47">
                  <c:v>4.156</c:v>
                </c:pt>
                <c:pt idx="48">
                  <c:v>4.156</c:v>
                </c:pt>
                <c:pt idx="49">
                  <c:v>4.156</c:v>
                </c:pt>
                <c:pt idx="50">
                  <c:v>4.156</c:v>
                </c:pt>
                <c:pt idx="51">
                  <c:v>4.156</c:v>
                </c:pt>
                <c:pt idx="52">
                  <c:v>4.156</c:v>
                </c:pt>
                <c:pt idx="53">
                  <c:v>4.15533333333333</c:v>
                </c:pt>
                <c:pt idx="54">
                  <c:v>4.15466666666667</c:v>
                </c:pt>
                <c:pt idx="55">
                  <c:v>4.15333333333333</c:v>
                </c:pt>
                <c:pt idx="56">
                  <c:v>4.152</c:v>
                </c:pt>
                <c:pt idx="57">
                  <c:v>4.152</c:v>
                </c:pt>
                <c:pt idx="58">
                  <c:v>4.152</c:v>
                </c:pt>
                <c:pt idx="59">
                  <c:v>4.152</c:v>
                </c:pt>
                <c:pt idx="60">
                  <c:v>4.152</c:v>
                </c:pt>
                <c:pt idx="61">
                  <c:v>4.152</c:v>
                </c:pt>
                <c:pt idx="62">
                  <c:v>4.15066666666667</c:v>
                </c:pt>
                <c:pt idx="63">
                  <c:v>4.14933333333333</c:v>
                </c:pt>
                <c:pt idx="64">
                  <c:v>4.148</c:v>
                </c:pt>
                <c:pt idx="65">
                  <c:v>4.148</c:v>
                </c:pt>
                <c:pt idx="66">
                  <c:v>4.148</c:v>
                </c:pt>
                <c:pt idx="67">
                  <c:v>4.148</c:v>
                </c:pt>
                <c:pt idx="68">
                  <c:v>4.148</c:v>
                </c:pt>
                <c:pt idx="69">
                  <c:v>4.148</c:v>
                </c:pt>
                <c:pt idx="70">
                  <c:v>4.14733333333333</c:v>
                </c:pt>
                <c:pt idx="71">
                  <c:v>4.148</c:v>
                </c:pt>
                <c:pt idx="72">
                  <c:v>4.14533333333333</c:v>
                </c:pt>
                <c:pt idx="73">
                  <c:v>4.144</c:v>
                </c:pt>
                <c:pt idx="74">
                  <c:v>4.144</c:v>
                </c:pt>
                <c:pt idx="75">
                  <c:v>4.144</c:v>
                </c:pt>
                <c:pt idx="76">
                  <c:v>4.144</c:v>
                </c:pt>
                <c:pt idx="77">
                  <c:v>4.144</c:v>
                </c:pt>
                <c:pt idx="78">
                  <c:v>4.144</c:v>
                </c:pt>
                <c:pt idx="79">
                  <c:v>4.144</c:v>
                </c:pt>
                <c:pt idx="80">
                  <c:v>4.14133333333333</c:v>
                </c:pt>
                <c:pt idx="81">
                  <c:v>4.14</c:v>
                </c:pt>
                <c:pt idx="82">
                  <c:v>4.14</c:v>
                </c:pt>
                <c:pt idx="83">
                  <c:v>4.14</c:v>
                </c:pt>
                <c:pt idx="84">
                  <c:v>4.14</c:v>
                </c:pt>
                <c:pt idx="85">
                  <c:v>4.14</c:v>
                </c:pt>
                <c:pt idx="86">
                  <c:v>4.14</c:v>
                </c:pt>
                <c:pt idx="87">
                  <c:v>4.138</c:v>
                </c:pt>
                <c:pt idx="88">
                  <c:v>4.13666666666667</c:v>
                </c:pt>
                <c:pt idx="89">
                  <c:v>4.136</c:v>
                </c:pt>
                <c:pt idx="90">
                  <c:v>4.136</c:v>
                </c:pt>
                <c:pt idx="91">
                  <c:v>4.136</c:v>
                </c:pt>
                <c:pt idx="92">
                  <c:v>4.136</c:v>
                </c:pt>
                <c:pt idx="93">
                  <c:v>4.136</c:v>
                </c:pt>
                <c:pt idx="94">
                  <c:v>4.134</c:v>
                </c:pt>
                <c:pt idx="95">
                  <c:v>4.132</c:v>
                </c:pt>
                <c:pt idx="96">
                  <c:v>4.132</c:v>
                </c:pt>
                <c:pt idx="97">
                  <c:v>4.132</c:v>
                </c:pt>
                <c:pt idx="98">
                  <c:v>4.132</c:v>
                </c:pt>
                <c:pt idx="99">
                  <c:v>4.132</c:v>
                </c:pt>
                <c:pt idx="100">
                  <c:v>4.13</c:v>
                </c:pt>
                <c:pt idx="101">
                  <c:v>4.128</c:v>
                </c:pt>
                <c:pt idx="102">
                  <c:v>4.128</c:v>
                </c:pt>
                <c:pt idx="103">
                  <c:v>4.128</c:v>
                </c:pt>
                <c:pt idx="104">
                  <c:v>4.128</c:v>
                </c:pt>
                <c:pt idx="105">
                  <c:v>4.12666666666667</c:v>
                </c:pt>
                <c:pt idx="106">
                  <c:v>4.12733333333333</c:v>
                </c:pt>
                <c:pt idx="107">
                  <c:v>4.12466666666667</c:v>
                </c:pt>
                <c:pt idx="108">
                  <c:v>4.124</c:v>
                </c:pt>
                <c:pt idx="109">
                  <c:v>4.124</c:v>
                </c:pt>
                <c:pt idx="110">
                  <c:v>4.12333333333333</c:v>
                </c:pt>
                <c:pt idx="111">
                  <c:v>4.122</c:v>
                </c:pt>
                <c:pt idx="112">
                  <c:v>4.12066666666667</c:v>
                </c:pt>
                <c:pt idx="113">
                  <c:v>4.12</c:v>
                </c:pt>
                <c:pt idx="114">
                  <c:v>4.12</c:v>
                </c:pt>
                <c:pt idx="115">
                  <c:v>4.12</c:v>
                </c:pt>
                <c:pt idx="116">
                  <c:v>4.11866666666667</c:v>
                </c:pt>
                <c:pt idx="117">
                  <c:v>4.116</c:v>
                </c:pt>
                <c:pt idx="118">
                  <c:v>4.11533333333333</c:v>
                </c:pt>
                <c:pt idx="119">
                  <c:v>4.114</c:v>
                </c:pt>
                <c:pt idx="120">
                  <c:v>4.112</c:v>
                </c:pt>
                <c:pt idx="121">
                  <c:v>4.112</c:v>
                </c:pt>
                <c:pt idx="122">
                  <c:v>4.112</c:v>
                </c:pt>
                <c:pt idx="123">
                  <c:v>4.10866666666667</c:v>
                </c:pt>
                <c:pt idx="124">
                  <c:v>4.108</c:v>
                </c:pt>
                <c:pt idx="125">
                  <c:v>4.108</c:v>
                </c:pt>
                <c:pt idx="126">
                  <c:v>4.106</c:v>
                </c:pt>
                <c:pt idx="127">
                  <c:v>4.104</c:v>
                </c:pt>
                <c:pt idx="128">
                  <c:v>4.104</c:v>
                </c:pt>
                <c:pt idx="129">
                  <c:v>4.1</c:v>
                </c:pt>
                <c:pt idx="130">
                  <c:v>4.1</c:v>
                </c:pt>
                <c:pt idx="131">
                  <c:v>4.1</c:v>
                </c:pt>
                <c:pt idx="132">
                  <c:v>4.096</c:v>
                </c:pt>
                <c:pt idx="133">
                  <c:v>4.096</c:v>
                </c:pt>
                <c:pt idx="134">
                  <c:v>4.09266666666667</c:v>
                </c:pt>
                <c:pt idx="135">
                  <c:v>4.092</c:v>
                </c:pt>
                <c:pt idx="136">
                  <c:v>4.08866666666667</c:v>
                </c:pt>
                <c:pt idx="137">
                  <c:v>4.088</c:v>
                </c:pt>
                <c:pt idx="138">
                  <c:v>4.08533333333333</c:v>
                </c:pt>
                <c:pt idx="139">
                  <c:v>4.084</c:v>
                </c:pt>
                <c:pt idx="140">
                  <c:v>4.08133333333333</c:v>
                </c:pt>
                <c:pt idx="141">
                  <c:v>4.08</c:v>
                </c:pt>
                <c:pt idx="142">
                  <c:v>4.076</c:v>
                </c:pt>
                <c:pt idx="143">
                  <c:v>4.07466666666667</c:v>
                </c:pt>
                <c:pt idx="144">
                  <c:v>4.07266666666667</c:v>
                </c:pt>
                <c:pt idx="145">
                  <c:v>4.07</c:v>
                </c:pt>
                <c:pt idx="146">
                  <c:v>4.068</c:v>
                </c:pt>
                <c:pt idx="147">
                  <c:v>4.06533333333333</c:v>
                </c:pt>
                <c:pt idx="148">
                  <c:v>4.064</c:v>
                </c:pt>
                <c:pt idx="149">
                  <c:v>4.06133333333333</c:v>
                </c:pt>
                <c:pt idx="150">
                  <c:v>4.058</c:v>
                </c:pt>
                <c:pt idx="151">
                  <c:v>4.056</c:v>
                </c:pt>
                <c:pt idx="152">
                  <c:v>4.052</c:v>
                </c:pt>
                <c:pt idx="153">
                  <c:v>4.052</c:v>
                </c:pt>
                <c:pt idx="154">
                  <c:v>4.048</c:v>
                </c:pt>
                <c:pt idx="155">
                  <c:v>4.04466666666667</c:v>
                </c:pt>
                <c:pt idx="156">
                  <c:v>4.04333333333333</c:v>
                </c:pt>
                <c:pt idx="157">
                  <c:v>4.04</c:v>
                </c:pt>
                <c:pt idx="158">
                  <c:v>4.03666666666667</c:v>
                </c:pt>
                <c:pt idx="159">
                  <c:v>4.036</c:v>
                </c:pt>
                <c:pt idx="160">
                  <c:v>4.032</c:v>
                </c:pt>
                <c:pt idx="161">
                  <c:v>4.03066666666667</c:v>
                </c:pt>
                <c:pt idx="162">
                  <c:v>4.02733333333333</c:v>
                </c:pt>
                <c:pt idx="163">
                  <c:v>4.02466666666667</c:v>
                </c:pt>
                <c:pt idx="164">
                  <c:v>4.02333333333333</c:v>
                </c:pt>
                <c:pt idx="165">
                  <c:v>4.02</c:v>
                </c:pt>
                <c:pt idx="166">
                  <c:v>4.01733333333333</c:v>
                </c:pt>
                <c:pt idx="167">
                  <c:v>4.016</c:v>
                </c:pt>
                <c:pt idx="168">
                  <c:v>4.012</c:v>
                </c:pt>
                <c:pt idx="169">
                  <c:v>4.01</c:v>
                </c:pt>
                <c:pt idx="170">
                  <c:v>4.00733333333333</c:v>
                </c:pt>
                <c:pt idx="171">
                  <c:v>4.004</c:v>
                </c:pt>
                <c:pt idx="172">
                  <c:v>4.00066666666667</c:v>
                </c:pt>
                <c:pt idx="173">
                  <c:v>3.99866666666667</c:v>
                </c:pt>
                <c:pt idx="174">
                  <c:v>3.996</c:v>
                </c:pt>
                <c:pt idx="175">
                  <c:v>3.99333333333333</c:v>
                </c:pt>
                <c:pt idx="176">
                  <c:v>3.98866666666667</c:v>
                </c:pt>
                <c:pt idx="177">
                  <c:v>3.98666666666667</c:v>
                </c:pt>
                <c:pt idx="178">
                  <c:v>3.984</c:v>
                </c:pt>
                <c:pt idx="179">
                  <c:v>3.98066666666667</c:v>
                </c:pt>
                <c:pt idx="180">
                  <c:v>3.97666666666667</c:v>
                </c:pt>
                <c:pt idx="181">
                  <c:v>3.97466666666667</c:v>
                </c:pt>
                <c:pt idx="182">
                  <c:v>3.97133333333333</c:v>
                </c:pt>
                <c:pt idx="183">
                  <c:v>3.96866666666667</c:v>
                </c:pt>
                <c:pt idx="184">
                  <c:v>3.96533333333333</c:v>
                </c:pt>
                <c:pt idx="185">
                  <c:v>3.964</c:v>
                </c:pt>
                <c:pt idx="186">
                  <c:v>3.95933333333333</c:v>
                </c:pt>
                <c:pt idx="187">
                  <c:v>3.958</c:v>
                </c:pt>
                <c:pt idx="188">
                  <c:v>3.95466666666667</c:v>
                </c:pt>
                <c:pt idx="189">
                  <c:v>3.95133333333333</c:v>
                </c:pt>
                <c:pt idx="190">
                  <c:v>3.948</c:v>
                </c:pt>
                <c:pt idx="191">
                  <c:v>3.94533333333333</c:v>
                </c:pt>
                <c:pt idx="192">
                  <c:v>3.94266666666667</c:v>
                </c:pt>
                <c:pt idx="193">
                  <c:v>3.94</c:v>
                </c:pt>
                <c:pt idx="194">
                  <c:v>3.93666666666667</c:v>
                </c:pt>
                <c:pt idx="195">
                  <c:v>3.93266666666667</c:v>
                </c:pt>
                <c:pt idx="196">
                  <c:v>3.93</c:v>
                </c:pt>
                <c:pt idx="197">
                  <c:v>3.92666666666667</c:v>
                </c:pt>
                <c:pt idx="198">
                  <c:v>3.92466666666667</c:v>
                </c:pt>
                <c:pt idx="199">
                  <c:v>3.92066666666667</c:v>
                </c:pt>
                <c:pt idx="200">
                  <c:v>3.91666666666667</c:v>
                </c:pt>
                <c:pt idx="201">
                  <c:v>3.914</c:v>
                </c:pt>
                <c:pt idx="202">
                  <c:v>3.912</c:v>
                </c:pt>
                <c:pt idx="203">
                  <c:v>3.908</c:v>
                </c:pt>
                <c:pt idx="204">
                  <c:v>3.90666666666667</c:v>
                </c:pt>
                <c:pt idx="205">
                  <c:v>3.90333333333333</c:v>
                </c:pt>
                <c:pt idx="206">
                  <c:v>3.9</c:v>
                </c:pt>
                <c:pt idx="207">
                  <c:v>3.89666666666667</c:v>
                </c:pt>
                <c:pt idx="208">
                  <c:v>3.89266666666667</c:v>
                </c:pt>
                <c:pt idx="209">
                  <c:v>3.89133333333333</c:v>
                </c:pt>
                <c:pt idx="210">
                  <c:v>3.888</c:v>
                </c:pt>
                <c:pt idx="211">
                  <c:v>3.884</c:v>
                </c:pt>
                <c:pt idx="212">
                  <c:v>3.88266666666667</c:v>
                </c:pt>
                <c:pt idx="213">
                  <c:v>3.87933333333333</c:v>
                </c:pt>
                <c:pt idx="214">
                  <c:v>3.87533333333333</c:v>
                </c:pt>
                <c:pt idx="215">
                  <c:v>3.874</c:v>
                </c:pt>
                <c:pt idx="216">
                  <c:v>3.87066666666667</c:v>
                </c:pt>
                <c:pt idx="217">
                  <c:v>3.86733333333333</c:v>
                </c:pt>
                <c:pt idx="218">
                  <c:v>3.866</c:v>
                </c:pt>
                <c:pt idx="219">
                  <c:v>3.86266666666667</c:v>
                </c:pt>
                <c:pt idx="220">
                  <c:v>3.85933333333333</c:v>
                </c:pt>
                <c:pt idx="221">
                  <c:v>3.85666666666667</c:v>
                </c:pt>
                <c:pt idx="222">
                  <c:v>3.85466666666667</c:v>
                </c:pt>
                <c:pt idx="223">
                  <c:v>3.85133333333333</c:v>
                </c:pt>
                <c:pt idx="224">
                  <c:v>3.848</c:v>
                </c:pt>
                <c:pt idx="225">
                  <c:v>3.84466666666667</c:v>
                </c:pt>
                <c:pt idx="226">
                  <c:v>3.84266666666667</c:v>
                </c:pt>
                <c:pt idx="227">
                  <c:v>3.83933333333333</c:v>
                </c:pt>
                <c:pt idx="228">
                  <c:v>3.83666666666667</c:v>
                </c:pt>
                <c:pt idx="229">
                  <c:v>3.83533333333333</c:v>
                </c:pt>
                <c:pt idx="230">
                  <c:v>3.83133333333333</c:v>
                </c:pt>
                <c:pt idx="231">
                  <c:v>3.83</c:v>
                </c:pt>
                <c:pt idx="232">
                  <c:v>3.82733333333333</c:v>
                </c:pt>
                <c:pt idx="233">
                  <c:v>3.824</c:v>
                </c:pt>
                <c:pt idx="234">
                  <c:v>3.82266666666667</c:v>
                </c:pt>
                <c:pt idx="235">
                  <c:v>3.82</c:v>
                </c:pt>
                <c:pt idx="236">
                  <c:v>3.81733333333333</c:v>
                </c:pt>
                <c:pt idx="237">
                  <c:v>3.81533333333333</c:v>
                </c:pt>
                <c:pt idx="238">
                  <c:v>3.814</c:v>
                </c:pt>
                <c:pt idx="239">
                  <c:v>3.81133333333333</c:v>
                </c:pt>
                <c:pt idx="240">
                  <c:v>3.80866666666667</c:v>
                </c:pt>
                <c:pt idx="241">
                  <c:v>3.808</c:v>
                </c:pt>
                <c:pt idx="242">
                  <c:v>3.80466666666667</c:v>
                </c:pt>
                <c:pt idx="243">
                  <c:v>3.80333333333333</c:v>
                </c:pt>
                <c:pt idx="244">
                  <c:v>3.802</c:v>
                </c:pt>
                <c:pt idx="245">
                  <c:v>3.8</c:v>
                </c:pt>
                <c:pt idx="246">
                  <c:v>3.79933333333333</c:v>
                </c:pt>
                <c:pt idx="247">
                  <c:v>3.79733333333333</c:v>
                </c:pt>
                <c:pt idx="248">
                  <c:v>3.79533333333333</c:v>
                </c:pt>
                <c:pt idx="249">
                  <c:v>3.79533333333333</c:v>
                </c:pt>
                <c:pt idx="250">
                  <c:v>3.79333333333333</c:v>
                </c:pt>
                <c:pt idx="251">
                  <c:v>3.79133333333333</c:v>
                </c:pt>
                <c:pt idx="252">
                  <c:v>3.792</c:v>
                </c:pt>
                <c:pt idx="253">
                  <c:v>3.79</c:v>
                </c:pt>
                <c:pt idx="254">
                  <c:v>3.78866666666667</c:v>
                </c:pt>
                <c:pt idx="255">
                  <c:v>3.788</c:v>
                </c:pt>
                <c:pt idx="256">
                  <c:v>3.78733333333333</c:v>
                </c:pt>
                <c:pt idx="257">
                  <c:v>3.78533333333333</c:v>
                </c:pt>
                <c:pt idx="258">
                  <c:v>3.784</c:v>
                </c:pt>
                <c:pt idx="259">
                  <c:v>3.784</c:v>
                </c:pt>
                <c:pt idx="260">
                  <c:v>3.78333333333333</c:v>
                </c:pt>
                <c:pt idx="261">
                  <c:v>3.78266666666667</c:v>
                </c:pt>
                <c:pt idx="262">
                  <c:v>3.78</c:v>
                </c:pt>
                <c:pt idx="263">
                  <c:v>3.77933333333333</c:v>
                </c:pt>
                <c:pt idx="264">
                  <c:v>3.78</c:v>
                </c:pt>
                <c:pt idx="265">
                  <c:v>3.77933333333333</c:v>
                </c:pt>
                <c:pt idx="266">
                  <c:v>3.77866666666667</c:v>
                </c:pt>
                <c:pt idx="267">
                  <c:v>3.77666666666667</c:v>
                </c:pt>
                <c:pt idx="268">
                  <c:v>3.776</c:v>
                </c:pt>
                <c:pt idx="269">
                  <c:v>3.776</c:v>
                </c:pt>
                <c:pt idx="270">
                  <c:v>3.776</c:v>
                </c:pt>
                <c:pt idx="271">
                  <c:v>3.776</c:v>
                </c:pt>
                <c:pt idx="272">
                  <c:v>3.77466666666667</c:v>
                </c:pt>
                <c:pt idx="273">
                  <c:v>3.77533333333333</c:v>
                </c:pt>
                <c:pt idx="274">
                  <c:v>3.776</c:v>
                </c:pt>
                <c:pt idx="275">
                  <c:v>3.774</c:v>
                </c:pt>
                <c:pt idx="276">
                  <c:v>3.77466666666667</c:v>
                </c:pt>
                <c:pt idx="277">
                  <c:v>3.774</c:v>
                </c:pt>
                <c:pt idx="278">
                  <c:v>3.77266666666667</c:v>
                </c:pt>
                <c:pt idx="279">
                  <c:v>3.77266666666667</c:v>
                </c:pt>
                <c:pt idx="280">
                  <c:v>3.772</c:v>
                </c:pt>
                <c:pt idx="281">
                  <c:v>3.77333333333333</c:v>
                </c:pt>
                <c:pt idx="282">
                  <c:v>3.772</c:v>
                </c:pt>
                <c:pt idx="283">
                  <c:v>3.77266666666667</c:v>
                </c:pt>
                <c:pt idx="284">
                  <c:v>3.77333333333333</c:v>
                </c:pt>
                <c:pt idx="285">
                  <c:v>3.774</c:v>
                </c:pt>
                <c:pt idx="286">
                  <c:v>3.77466666666667</c:v>
                </c:pt>
                <c:pt idx="287">
                  <c:v>3.77466666666667</c:v>
                </c:pt>
                <c:pt idx="288">
                  <c:v>3.774</c:v>
                </c:pt>
                <c:pt idx="289">
                  <c:v>3.77533333333333</c:v>
                </c:pt>
                <c:pt idx="290">
                  <c:v>3.776</c:v>
                </c:pt>
                <c:pt idx="291">
                  <c:v>3.776</c:v>
                </c:pt>
                <c:pt idx="292">
                  <c:v>3.776</c:v>
                </c:pt>
                <c:pt idx="293">
                  <c:v>3.776</c:v>
                </c:pt>
                <c:pt idx="294">
                  <c:v>3.776</c:v>
                </c:pt>
                <c:pt idx="295">
                  <c:v>3.776</c:v>
                </c:pt>
                <c:pt idx="296">
                  <c:v>3.77733333333333</c:v>
                </c:pt>
                <c:pt idx="297">
                  <c:v>3.77866666666667</c:v>
                </c:pt>
                <c:pt idx="298">
                  <c:v>3.77866666666667</c:v>
                </c:pt>
                <c:pt idx="299">
                  <c:v>3.78</c:v>
                </c:pt>
                <c:pt idx="300">
                  <c:v>3.78</c:v>
                </c:pt>
                <c:pt idx="301">
                  <c:v>3.78066666666667</c:v>
                </c:pt>
                <c:pt idx="302">
                  <c:v>3.78066666666667</c:v>
                </c:pt>
                <c:pt idx="303">
                  <c:v>3.78333333333333</c:v>
                </c:pt>
                <c:pt idx="304">
                  <c:v>3.78333333333333</c:v>
                </c:pt>
                <c:pt idx="305">
                  <c:v>3.78333333333333</c:v>
                </c:pt>
                <c:pt idx="306">
                  <c:v>3.78333333333333</c:v>
                </c:pt>
                <c:pt idx="307">
                  <c:v>3.784</c:v>
                </c:pt>
                <c:pt idx="308">
                  <c:v>3.78533333333333</c:v>
                </c:pt>
                <c:pt idx="309">
                  <c:v>3.786</c:v>
                </c:pt>
                <c:pt idx="310">
                  <c:v>3.786</c:v>
                </c:pt>
                <c:pt idx="311">
                  <c:v>3.78733333333333</c:v>
                </c:pt>
                <c:pt idx="312">
                  <c:v>3.786</c:v>
                </c:pt>
                <c:pt idx="313">
                  <c:v>3.784</c:v>
                </c:pt>
                <c:pt idx="314">
                  <c:v>3.784</c:v>
                </c:pt>
                <c:pt idx="315">
                  <c:v>3.784</c:v>
                </c:pt>
                <c:pt idx="316">
                  <c:v>3.78333333333333</c:v>
                </c:pt>
                <c:pt idx="317">
                  <c:v>3.78333333333333</c:v>
                </c:pt>
                <c:pt idx="318">
                  <c:v>3.78066666666667</c:v>
                </c:pt>
                <c:pt idx="319">
                  <c:v>3.78133333333333</c:v>
                </c:pt>
                <c:pt idx="320">
                  <c:v>3.78</c:v>
                </c:pt>
                <c:pt idx="321">
                  <c:v>3.77733333333333</c:v>
                </c:pt>
                <c:pt idx="322">
                  <c:v>3.776</c:v>
                </c:pt>
                <c:pt idx="323">
                  <c:v>3.774</c:v>
                </c:pt>
                <c:pt idx="324">
                  <c:v>3.77266666666667</c:v>
                </c:pt>
                <c:pt idx="325">
                  <c:v>3.772</c:v>
                </c:pt>
                <c:pt idx="326">
                  <c:v>3.76866666666667</c:v>
                </c:pt>
                <c:pt idx="327">
                  <c:v>3.768</c:v>
                </c:pt>
                <c:pt idx="328">
                  <c:v>3.76533333333333</c:v>
                </c:pt>
                <c:pt idx="329">
                  <c:v>3.76333333333333</c:v>
                </c:pt>
                <c:pt idx="330">
                  <c:v>3.76133333333333</c:v>
                </c:pt>
                <c:pt idx="331">
                  <c:v>3.75933333333333</c:v>
                </c:pt>
                <c:pt idx="332">
                  <c:v>3.756</c:v>
                </c:pt>
                <c:pt idx="333">
                  <c:v>3.754</c:v>
                </c:pt>
                <c:pt idx="334">
                  <c:v>3.752</c:v>
                </c:pt>
                <c:pt idx="335">
                  <c:v>3.74933333333333</c:v>
                </c:pt>
                <c:pt idx="336">
                  <c:v>3.74666666666667</c:v>
                </c:pt>
                <c:pt idx="337">
                  <c:v>3.746</c:v>
                </c:pt>
                <c:pt idx="338">
                  <c:v>3.74066666666667</c:v>
                </c:pt>
                <c:pt idx="339">
                  <c:v>3.73933333333333</c:v>
                </c:pt>
                <c:pt idx="340">
                  <c:v>3.738</c:v>
                </c:pt>
                <c:pt idx="341">
                  <c:v>3.73533333333333</c:v>
                </c:pt>
                <c:pt idx="342">
                  <c:v>3.734</c:v>
                </c:pt>
                <c:pt idx="343">
                  <c:v>3.73133333333333</c:v>
                </c:pt>
                <c:pt idx="344">
                  <c:v>3.728</c:v>
                </c:pt>
                <c:pt idx="345">
                  <c:v>3.72466666666667</c:v>
                </c:pt>
                <c:pt idx="346">
                  <c:v>3.72333333333333</c:v>
                </c:pt>
                <c:pt idx="347">
                  <c:v>3.72</c:v>
                </c:pt>
                <c:pt idx="348">
                  <c:v>3.71733333333333</c:v>
                </c:pt>
                <c:pt idx="349">
                  <c:v>3.714</c:v>
                </c:pt>
                <c:pt idx="350">
                  <c:v>3.71066666666667</c:v>
                </c:pt>
                <c:pt idx="351">
                  <c:v>3.70533333333333</c:v>
                </c:pt>
                <c:pt idx="352">
                  <c:v>3.70133333333333</c:v>
                </c:pt>
                <c:pt idx="353">
                  <c:v>3.69666666666667</c:v>
                </c:pt>
                <c:pt idx="354">
                  <c:v>3.69466666666667</c:v>
                </c:pt>
                <c:pt idx="355">
                  <c:v>3.69</c:v>
                </c:pt>
                <c:pt idx="356">
                  <c:v>3.684</c:v>
                </c:pt>
                <c:pt idx="357">
                  <c:v>3.68</c:v>
                </c:pt>
                <c:pt idx="358">
                  <c:v>3.67733333333333</c:v>
                </c:pt>
                <c:pt idx="359">
                  <c:v>3.674</c:v>
                </c:pt>
                <c:pt idx="360">
                  <c:v>3.67</c:v>
                </c:pt>
                <c:pt idx="361">
                  <c:v>3.66533333333333</c:v>
                </c:pt>
                <c:pt idx="362">
                  <c:v>3.66266666666667</c:v>
                </c:pt>
                <c:pt idx="363">
                  <c:v>3.65933333333333</c:v>
                </c:pt>
                <c:pt idx="364">
                  <c:v>3.65533333333333</c:v>
                </c:pt>
                <c:pt idx="365">
                  <c:v>3.652</c:v>
                </c:pt>
                <c:pt idx="366">
                  <c:v>3.65</c:v>
                </c:pt>
                <c:pt idx="367">
                  <c:v>3.648</c:v>
                </c:pt>
                <c:pt idx="368">
                  <c:v>3.64466666666667</c:v>
                </c:pt>
                <c:pt idx="369">
                  <c:v>3.64266666666667</c:v>
                </c:pt>
                <c:pt idx="370">
                  <c:v>3.64</c:v>
                </c:pt>
                <c:pt idx="371">
                  <c:v>3.64</c:v>
                </c:pt>
                <c:pt idx="372">
                  <c:v>3.63866666666667</c:v>
                </c:pt>
                <c:pt idx="373">
                  <c:v>3.638</c:v>
                </c:pt>
                <c:pt idx="374">
                  <c:v>3.636</c:v>
                </c:pt>
                <c:pt idx="375">
                  <c:v>3.636</c:v>
                </c:pt>
                <c:pt idx="376">
                  <c:v>3.636</c:v>
                </c:pt>
                <c:pt idx="377">
                  <c:v>3.63666666666667</c:v>
                </c:pt>
                <c:pt idx="378">
                  <c:v>3.63666666666667</c:v>
                </c:pt>
                <c:pt idx="379">
                  <c:v>3.63866666666667</c:v>
                </c:pt>
                <c:pt idx="380">
                  <c:v>3.64</c:v>
                </c:pt>
                <c:pt idx="381">
                  <c:v>3.64333333333333</c:v>
                </c:pt>
                <c:pt idx="382">
                  <c:v>3.644</c:v>
                </c:pt>
                <c:pt idx="383">
                  <c:v>3.64733333333333</c:v>
                </c:pt>
                <c:pt idx="384">
                  <c:v>3.64866666666667</c:v>
                </c:pt>
                <c:pt idx="385">
                  <c:v>3.652</c:v>
                </c:pt>
                <c:pt idx="386">
                  <c:v>3.652</c:v>
                </c:pt>
                <c:pt idx="387">
                  <c:v>3.658</c:v>
                </c:pt>
                <c:pt idx="388">
                  <c:v>3.662</c:v>
                </c:pt>
                <c:pt idx="389">
                  <c:v>3.664</c:v>
                </c:pt>
                <c:pt idx="390">
                  <c:v>3.66666666666667</c:v>
                </c:pt>
                <c:pt idx="391">
                  <c:v>3.674</c:v>
                </c:pt>
                <c:pt idx="392">
                  <c:v>3.676</c:v>
                </c:pt>
                <c:pt idx="393">
                  <c:v>3.682</c:v>
                </c:pt>
                <c:pt idx="394">
                  <c:v>3.68533333333333</c:v>
                </c:pt>
                <c:pt idx="395">
                  <c:v>3.692</c:v>
                </c:pt>
                <c:pt idx="396">
                  <c:v>3.69666666666667</c:v>
                </c:pt>
                <c:pt idx="397">
                  <c:v>3.702</c:v>
                </c:pt>
                <c:pt idx="398">
                  <c:v>3.706</c:v>
                </c:pt>
                <c:pt idx="399">
                  <c:v>3.71133333333333</c:v>
                </c:pt>
                <c:pt idx="400">
                  <c:v>3.71666666666667</c:v>
                </c:pt>
                <c:pt idx="401">
                  <c:v>3.72266666666667</c:v>
                </c:pt>
                <c:pt idx="402">
                  <c:v>3.726</c:v>
                </c:pt>
                <c:pt idx="403">
                  <c:v>3.73266666666667</c:v>
                </c:pt>
                <c:pt idx="404">
                  <c:v>3.73733333333333</c:v>
                </c:pt>
                <c:pt idx="405">
                  <c:v>3.744</c:v>
                </c:pt>
                <c:pt idx="406">
                  <c:v>3.74933333333333</c:v>
                </c:pt>
                <c:pt idx="407">
                  <c:v>3.75333333333333</c:v>
                </c:pt>
                <c:pt idx="408">
                  <c:v>3.75866666666667</c:v>
                </c:pt>
                <c:pt idx="409">
                  <c:v>3.76533333333333</c:v>
                </c:pt>
                <c:pt idx="410">
                  <c:v>3.76866666666667</c:v>
                </c:pt>
                <c:pt idx="411">
                  <c:v>3.77333333333333</c:v>
                </c:pt>
                <c:pt idx="412">
                  <c:v>3.778</c:v>
                </c:pt>
                <c:pt idx="413">
                  <c:v>3.78333333333333</c:v>
                </c:pt>
                <c:pt idx="414">
                  <c:v>3.78933333333333</c:v>
                </c:pt>
                <c:pt idx="415">
                  <c:v>3.79466666666667</c:v>
                </c:pt>
                <c:pt idx="416">
                  <c:v>3.80133333333333</c:v>
                </c:pt>
                <c:pt idx="417">
                  <c:v>3.806</c:v>
                </c:pt>
                <c:pt idx="418">
                  <c:v>3.81266666666667</c:v>
                </c:pt>
                <c:pt idx="419">
                  <c:v>3.81733333333333</c:v>
                </c:pt>
                <c:pt idx="420">
                  <c:v>3.82266666666667</c:v>
                </c:pt>
                <c:pt idx="421">
                  <c:v>3.82866666666667</c:v>
                </c:pt>
                <c:pt idx="422">
                  <c:v>3.834</c:v>
                </c:pt>
                <c:pt idx="423">
                  <c:v>3.84</c:v>
                </c:pt>
                <c:pt idx="424">
                  <c:v>3.84533333333333</c:v>
                </c:pt>
                <c:pt idx="425">
                  <c:v>3.85066666666667</c:v>
                </c:pt>
                <c:pt idx="426">
                  <c:v>3.856</c:v>
                </c:pt>
                <c:pt idx="427">
                  <c:v>3.86133333333333</c:v>
                </c:pt>
                <c:pt idx="428">
                  <c:v>3.86533333333333</c:v>
                </c:pt>
                <c:pt idx="429">
                  <c:v>3.86933333333333</c:v>
                </c:pt>
                <c:pt idx="430">
                  <c:v>3.874</c:v>
                </c:pt>
                <c:pt idx="431">
                  <c:v>3.87933333333333</c:v>
                </c:pt>
                <c:pt idx="432">
                  <c:v>3.884</c:v>
                </c:pt>
                <c:pt idx="433">
                  <c:v>3.88733333333333</c:v>
                </c:pt>
                <c:pt idx="434">
                  <c:v>3.892</c:v>
                </c:pt>
                <c:pt idx="435">
                  <c:v>3.89533333333333</c:v>
                </c:pt>
                <c:pt idx="436">
                  <c:v>3.9</c:v>
                </c:pt>
                <c:pt idx="437">
                  <c:v>3.90266666666667</c:v>
                </c:pt>
                <c:pt idx="438">
                  <c:v>3.908</c:v>
                </c:pt>
                <c:pt idx="439">
                  <c:v>3.91066666666667</c:v>
                </c:pt>
                <c:pt idx="440">
                  <c:v>3.91466666666667</c:v>
                </c:pt>
                <c:pt idx="441">
                  <c:v>3.91733333333333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"Battery voltage linear discharge"</c:f>
              <c:strCache>
                <c:ptCount val="1"/>
                <c:pt idx="0">
                  <c:v>Battery voltage linear discharge</c:v>
                </c:pt>
              </c:strCache>
            </c:strRef>
          </c:tx>
          <c:spPr>
            <a:solidFill>
              <a:srgbClr val="800000"/>
            </a:solidFill>
            <a:ln w="14400">
              <a:solidFill>
                <a:srgbClr val="8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44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'Flight data'!$A$2:$A$443</c:f>
              <c:numCache>
                <c:formatCode>hh:mm:ss</c:formatCode>
                <c:ptCount val="442"/>
                <c:pt idx="0">
                  <c:v>0.592361111111111</c:v>
                </c:pt>
                <c:pt idx="1">
                  <c:v>0.592708333333333</c:v>
                </c:pt>
                <c:pt idx="2">
                  <c:v>0.593055555555556</c:v>
                </c:pt>
                <c:pt idx="3">
                  <c:v>0.593402777777778</c:v>
                </c:pt>
                <c:pt idx="4">
                  <c:v>0.59375</c:v>
                </c:pt>
                <c:pt idx="5">
                  <c:v>0.594097222222222</c:v>
                </c:pt>
                <c:pt idx="6">
                  <c:v>0.594444444444444</c:v>
                </c:pt>
                <c:pt idx="7">
                  <c:v>0.594791666666667</c:v>
                </c:pt>
                <c:pt idx="8">
                  <c:v>0.595138888888889</c:v>
                </c:pt>
                <c:pt idx="9">
                  <c:v>0.595486111111111</c:v>
                </c:pt>
                <c:pt idx="10">
                  <c:v>0.595833333333333</c:v>
                </c:pt>
                <c:pt idx="11">
                  <c:v>0.596180555555556</c:v>
                </c:pt>
                <c:pt idx="12">
                  <c:v>0.596527777777778</c:v>
                </c:pt>
                <c:pt idx="13">
                  <c:v>0.596875</c:v>
                </c:pt>
                <c:pt idx="14">
                  <c:v>0.597222222222222</c:v>
                </c:pt>
                <c:pt idx="15">
                  <c:v>0.597569444444445</c:v>
                </c:pt>
                <c:pt idx="16">
                  <c:v>0.597916666666667</c:v>
                </c:pt>
                <c:pt idx="17">
                  <c:v>0.598263888888889</c:v>
                </c:pt>
                <c:pt idx="18">
                  <c:v>0.598611111111111</c:v>
                </c:pt>
                <c:pt idx="19">
                  <c:v>0.598958333333333</c:v>
                </c:pt>
                <c:pt idx="20">
                  <c:v>0.599305555555556</c:v>
                </c:pt>
                <c:pt idx="21">
                  <c:v>0.599652777777778</c:v>
                </c:pt>
                <c:pt idx="22">
                  <c:v>0.6</c:v>
                </c:pt>
                <c:pt idx="23">
                  <c:v>0.600347222222222</c:v>
                </c:pt>
                <c:pt idx="24">
                  <c:v>0.600694444444444</c:v>
                </c:pt>
                <c:pt idx="25">
                  <c:v>0.601041666666667</c:v>
                </c:pt>
                <c:pt idx="26">
                  <c:v>0.601388888888889</c:v>
                </c:pt>
                <c:pt idx="27">
                  <c:v>0.601736111111111</c:v>
                </c:pt>
                <c:pt idx="28">
                  <c:v>0.602083333333333</c:v>
                </c:pt>
                <c:pt idx="29">
                  <c:v>0.602430555555556</c:v>
                </c:pt>
                <c:pt idx="30">
                  <c:v>0.602777777777778</c:v>
                </c:pt>
                <c:pt idx="31">
                  <c:v>0.603125</c:v>
                </c:pt>
                <c:pt idx="32">
                  <c:v>0.603472222222222</c:v>
                </c:pt>
                <c:pt idx="33">
                  <c:v>0.603819444444445</c:v>
                </c:pt>
                <c:pt idx="34">
                  <c:v>0.604166666666667</c:v>
                </c:pt>
                <c:pt idx="35">
                  <c:v>0.604513888888889</c:v>
                </c:pt>
                <c:pt idx="36">
                  <c:v>0.604861111111111</c:v>
                </c:pt>
                <c:pt idx="37">
                  <c:v>0.605208333333333</c:v>
                </c:pt>
                <c:pt idx="38">
                  <c:v>0.605555555555556</c:v>
                </c:pt>
                <c:pt idx="39">
                  <c:v>0.605902777777778</c:v>
                </c:pt>
                <c:pt idx="40">
                  <c:v>0.60625</c:v>
                </c:pt>
                <c:pt idx="41">
                  <c:v>0.606597222222222</c:v>
                </c:pt>
                <c:pt idx="42">
                  <c:v>0.606944444444444</c:v>
                </c:pt>
                <c:pt idx="43">
                  <c:v>0.607291666666667</c:v>
                </c:pt>
                <c:pt idx="44">
                  <c:v>0.607638888888889</c:v>
                </c:pt>
                <c:pt idx="45">
                  <c:v>0.607986111111111</c:v>
                </c:pt>
                <c:pt idx="46">
                  <c:v>0.608333333333333</c:v>
                </c:pt>
                <c:pt idx="47">
                  <c:v>0.608680555555556</c:v>
                </c:pt>
                <c:pt idx="48">
                  <c:v>0.609027777777778</c:v>
                </c:pt>
                <c:pt idx="49">
                  <c:v>0.609375</c:v>
                </c:pt>
                <c:pt idx="50">
                  <c:v>0.609722222222222</c:v>
                </c:pt>
                <c:pt idx="51">
                  <c:v>0.610069444444444</c:v>
                </c:pt>
                <c:pt idx="52">
                  <c:v>0.610416666666667</c:v>
                </c:pt>
                <c:pt idx="53">
                  <c:v>0.610763888888889</c:v>
                </c:pt>
                <c:pt idx="54">
                  <c:v>0.611111111111111</c:v>
                </c:pt>
                <c:pt idx="55">
                  <c:v>0.611458333333333</c:v>
                </c:pt>
                <c:pt idx="56">
                  <c:v>0.611805555555556</c:v>
                </c:pt>
                <c:pt idx="57">
                  <c:v>0.612152777777778</c:v>
                </c:pt>
                <c:pt idx="58">
                  <c:v>0.6125</c:v>
                </c:pt>
                <c:pt idx="59">
                  <c:v>0.612847222222222</c:v>
                </c:pt>
                <c:pt idx="60">
                  <c:v>0.613194444444445</c:v>
                </c:pt>
                <c:pt idx="61">
                  <c:v>0.613541666666667</c:v>
                </c:pt>
                <c:pt idx="62">
                  <c:v>0.613888888888889</c:v>
                </c:pt>
                <c:pt idx="63">
                  <c:v>0.614236111111111</c:v>
                </c:pt>
                <c:pt idx="64">
                  <c:v>0.614583333333333</c:v>
                </c:pt>
                <c:pt idx="65">
                  <c:v>0.614930555555556</c:v>
                </c:pt>
                <c:pt idx="66">
                  <c:v>0.615277777777778</c:v>
                </c:pt>
                <c:pt idx="67">
                  <c:v>0.615625</c:v>
                </c:pt>
                <c:pt idx="68">
                  <c:v>0.615972222222222</c:v>
                </c:pt>
                <c:pt idx="69">
                  <c:v>0.616319444444444</c:v>
                </c:pt>
                <c:pt idx="70">
                  <c:v>0.616666666666667</c:v>
                </c:pt>
                <c:pt idx="71">
                  <c:v>0.617013888888889</c:v>
                </c:pt>
                <c:pt idx="72">
                  <c:v>0.617361111111111</c:v>
                </c:pt>
                <c:pt idx="73">
                  <c:v>0.617708333333333</c:v>
                </c:pt>
                <c:pt idx="74">
                  <c:v>0.618055555555556</c:v>
                </c:pt>
                <c:pt idx="75">
                  <c:v>0.618402777777778</c:v>
                </c:pt>
                <c:pt idx="76">
                  <c:v>0.61875</c:v>
                </c:pt>
                <c:pt idx="77">
                  <c:v>0.619097222222222</c:v>
                </c:pt>
                <c:pt idx="78">
                  <c:v>0.619444444444445</c:v>
                </c:pt>
                <c:pt idx="79">
                  <c:v>0.619791666666667</c:v>
                </c:pt>
                <c:pt idx="80">
                  <c:v>0.620138888888889</c:v>
                </c:pt>
                <c:pt idx="81">
                  <c:v>0.620486111111111</c:v>
                </c:pt>
                <c:pt idx="82">
                  <c:v>0.620833333333333</c:v>
                </c:pt>
                <c:pt idx="83">
                  <c:v>0.621180555555556</c:v>
                </c:pt>
                <c:pt idx="84">
                  <c:v>0.621527777777778</c:v>
                </c:pt>
                <c:pt idx="85">
                  <c:v>0.621875</c:v>
                </c:pt>
                <c:pt idx="86">
                  <c:v>0.622222222222222</c:v>
                </c:pt>
                <c:pt idx="87">
                  <c:v>0.622569444444444</c:v>
                </c:pt>
                <c:pt idx="88">
                  <c:v>0.622916666666667</c:v>
                </c:pt>
                <c:pt idx="89">
                  <c:v>0.623263888888889</c:v>
                </c:pt>
                <c:pt idx="90">
                  <c:v>0.623611111111111</c:v>
                </c:pt>
                <c:pt idx="91">
                  <c:v>0.623958333333333</c:v>
                </c:pt>
                <c:pt idx="92">
                  <c:v>0.624305555555556</c:v>
                </c:pt>
                <c:pt idx="93">
                  <c:v>0.624652777777778</c:v>
                </c:pt>
                <c:pt idx="94">
                  <c:v>0.625</c:v>
                </c:pt>
                <c:pt idx="95">
                  <c:v>0.625347222222222</c:v>
                </c:pt>
                <c:pt idx="96">
                  <c:v>0.625694444444444</c:v>
                </c:pt>
                <c:pt idx="97">
                  <c:v>0.626041666666667</c:v>
                </c:pt>
                <c:pt idx="98">
                  <c:v>0.626388888888889</c:v>
                </c:pt>
                <c:pt idx="99">
                  <c:v>0.626736111111111</c:v>
                </c:pt>
                <c:pt idx="100">
                  <c:v>0.627083333333333</c:v>
                </c:pt>
                <c:pt idx="101">
                  <c:v>0.627430555555556</c:v>
                </c:pt>
                <c:pt idx="102">
                  <c:v>0.627777777777778</c:v>
                </c:pt>
                <c:pt idx="103">
                  <c:v>0.628125</c:v>
                </c:pt>
                <c:pt idx="104">
                  <c:v>0.628472222222222</c:v>
                </c:pt>
                <c:pt idx="105">
                  <c:v>0.628819444444445</c:v>
                </c:pt>
                <c:pt idx="106">
                  <c:v>0.629166666666667</c:v>
                </c:pt>
                <c:pt idx="107">
                  <c:v>0.629513888888889</c:v>
                </c:pt>
                <c:pt idx="108">
                  <c:v>0.629861111111111</c:v>
                </c:pt>
                <c:pt idx="109">
                  <c:v>0.630208333333333</c:v>
                </c:pt>
                <c:pt idx="110">
                  <c:v>0.630555555555556</c:v>
                </c:pt>
                <c:pt idx="111">
                  <c:v>0.630902777777778</c:v>
                </c:pt>
                <c:pt idx="112">
                  <c:v>0.63125</c:v>
                </c:pt>
                <c:pt idx="113">
                  <c:v>0.631597222222222</c:v>
                </c:pt>
                <c:pt idx="114">
                  <c:v>0.631944444444444</c:v>
                </c:pt>
                <c:pt idx="115">
                  <c:v>0.632291666666667</c:v>
                </c:pt>
                <c:pt idx="116">
                  <c:v>0.632638888888889</c:v>
                </c:pt>
                <c:pt idx="117">
                  <c:v>0.632986111111111</c:v>
                </c:pt>
                <c:pt idx="118">
                  <c:v>0.633333333333333</c:v>
                </c:pt>
                <c:pt idx="119">
                  <c:v>0.633680555555556</c:v>
                </c:pt>
                <c:pt idx="120">
                  <c:v>0.634027777777778</c:v>
                </c:pt>
                <c:pt idx="121">
                  <c:v>0.634375</c:v>
                </c:pt>
                <c:pt idx="122">
                  <c:v>0.634722222222222</c:v>
                </c:pt>
                <c:pt idx="123">
                  <c:v>0.635069444444445</c:v>
                </c:pt>
                <c:pt idx="124">
                  <c:v>0.635416666666667</c:v>
                </c:pt>
                <c:pt idx="125">
                  <c:v>0.635763888888889</c:v>
                </c:pt>
                <c:pt idx="126">
                  <c:v>0.636111111111111</c:v>
                </c:pt>
                <c:pt idx="127">
                  <c:v>0.636458333333333</c:v>
                </c:pt>
                <c:pt idx="128">
                  <c:v>0.636805555555556</c:v>
                </c:pt>
                <c:pt idx="129">
                  <c:v>0.637152777777778</c:v>
                </c:pt>
                <c:pt idx="130">
                  <c:v>0.6375</c:v>
                </c:pt>
                <c:pt idx="131">
                  <c:v>0.637847222222222</c:v>
                </c:pt>
                <c:pt idx="132">
                  <c:v>0.638194444444444</c:v>
                </c:pt>
                <c:pt idx="133">
                  <c:v>0.638541666666667</c:v>
                </c:pt>
                <c:pt idx="134">
                  <c:v>0.638888888888889</c:v>
                </c:pt>
                <c:pt idx="135">
                  <c:v>0.639236111111111</c:v>
                </c:pt>
                <c:pt idx="136">
                  <c:v>0.639583333333333</c:v>
                </c:pt>
                <c:pt idx="137">
                  <c:v>0.639930555555556</c:v>
                </c:pt>
                <c:pt idx="138">
                  <c:v>0.640277777777778</c:v>
                </c:pt>
                <c:pt idx="139">
                  <c:v>0.640625</c:v>
                </c:pt>
                <c:pt idx="140">
                  <c:v>0.640972222222222</c:v>
                </c:pt>
                <c:pt idx="141">
                  <c:v>0.641319444444444</c:v>
                </c:pt>
                <c:pt idx="142">
                  <c:v>0.641666666666667</c:v>
                </c:pt>
                <c:pt idx="143">
                  <c:v>0.642013888888889</c:v>
                </c:pt>
                <c:pt idx="144">
                  <c:v>0.642361111111111</c:v>
                </c:pt>
                <c:pt idx="145">
                  <c:v>0.642708333333333</c:v>
                </c:pt>
                <c:pt idx="146">
                  <c:v>0.643055555555556</c:v>
                </c:pt>
                <c:pt idx="147">
                  <c:v>0.643402777777778</c:v>
                </c:pt>
                <c:pt idx="148">
                  <c:v>0.64375</c:v>
                </c:pt>
                <c:pt idx="149">
                  <c:v>0.644097222222222</c:v>
                </c:pt>
                <c:pt idx="150">
                  <c:v>0.644444444444445</c:v>
                </c:pt>
                <c:pt idx="151">
                  <c:v>0.644791666666667</c:v>
                </c:pt>
                <c:pt idx="152">
                  <c:v>0.645138888888889</c:v>
                </c:pt>
                <c:pt idx="153">
                  <c:v>0.645486111111111</c:v>
                </c:pt>
                <c:pt idx="154">
                  <c:v>0.645833333333333</c:v>
                </c:pt>
                <c:pt idx="155">
                  <c:v>0.646180555555556</c:v>
                </c:pt>
                <c:pt idx="156">
                  <c:v>0.646527777777778</c:v>
                </c:pt>
                <c:pt idx="157">
                  <c:v>0.646875</c:v>
                </c:pt>
                <c:pt idx="158">
                  <c:v>0.647222222222222</c:v>
                </c:pt>
                <c:pt idx="159">
                  <c:v>0.647569444444444</c:v>
                </c:pt>
                <c:pt idx="160">
                  <c:v>0.647916666666667</c:v>
                </c:pt>
                <c:pt idx="161">
                  <c:v>0.648263888888889</c:v>
                </c:pt>
                <c:pt idx="162">
                  <c:v>0.648611111111111</c:v>
                </c:pt>
                <c:pt idx="163">
                  <c:v>0.648958333333333</c:v>
                </c:pt>
                <c:pt idx="164">
                  <c:v>0.649305555555556</c:v>
                </c:pt>
                <c:pt idx="165">
                  <c:v>0.649652777777778</c:v>
                </c:pt>
                <c:pt idx="166">
                  <c:v>0.65</c:v>
                </c:pt>
                <c:pt idx="167">
                  <c:v>0.650347222222222</c:v>
                </c:pt>
                <c:pt idx="168">
                  <c:v>0.650694444444445</c:v>
                </c:pt>
                <c:pt idx="169">
                  <c:v>0.651041666666667</c:v>
                </c:pt>
                <c:pt idx="170">
                  <c:v>0.651388888888889</c:v>
                </c:pt>
                <c:pt idx="171">
                  <c:v>0.651736111111111</c:v>
                </c:pt>
                <c:pt idx="172">
                  <c:v>0.652083333333333</c:v>
                </c:pt>
                <c:pt idx="173">
                  <c:v>0.652430555555556</c:v>
                </c:pt>
                <c:pt idx="174">
                  <c:v>0.652777777777778</c:v>
                </c:pt>
                <c:pt idx="175">
                  <c:v>0.653125</c:v>
                </c:pt>
                <c:pt idx="176">
                  <c:v>0.653472222222222</c:v>
                </c:pt>
                <c:pt idx="177">
                  <c:v>0.653819444444444</c:v>
                </c:pt>
                <c:pt idx="178">
                  <c:v>0.654166666666667</c:v>
                </c:pt>
                <c:pt idx="179">
                  <c:v>0.654513888888889</c:v>
                </c:pt>
                <c:pt idx="180">
                  <c:v>0.654861111111111</c:v>
                </c:pt>
                <c:pt idx="181">
                  <c:v>0.655208333333333</c:v>
                </c:pt>
                <c:pt idx="182">
                  <c:v>0.655555555555556</c:v>
                </c:pt>
                <c:pt idx="183">
                  <c:v>0.655902777777778</c:v>
                </c:pt>
                <c:pt idx="184">
                  <c:v>0.65625</c:v>
                </c:pt>
                <c:pt idx="185">
                  <c:v>0.656597222222222</c:v>
                </c:pt>
                <c:pt idx="186">
                  <c:v>0.656944444444444</c:v>
                </c:pt>
                <c:pt idx="187">
                  <c:v>0.657291666666667</c:v>
                </c:pt>
                <c:pt idx="188">
                  <c:v>0.657638888888889</c:v>
                </c:pt>
                <c:pt idx="189">
                  <c:v>0.657986111111111</c:v>
                </c:pt>
                <c:pt idx="190">
                  <c:v>0.658333333333333</c:v>
                </c:pt>
                <c:pt idx="191">
                  <c:v>0.658680555555556</c:v>
                </c:pt>
                <c:pt idx="192">
                  <c:v>0.659027777777778</c:v>
                </c:pt>
                <c:pt idx="193">
                  <c:v>0.659375</c:v>
                </c:pt>
                <c:pt idx="194">
                  <c:v>0.659722222222222</c:v>
                </c:pt>
                <c:pt idx="195">
                  <c:v>0.660069444444445</c:v>
                </c:pt>
                <c:pt idx="196">
                  <c:v>0.660416666666667</c:v>
                </c:pt>
                <c:pt idx="197">
                  <c:v>0.660763888888889</c:v>
                </c:pt>
                <c:pt idx="198">
                  <c:v>0.661111111111111</c:v>
                </c:pt>
                <c:pt idx="199">
                  <c:v>0.661458333333333</c:v>
                </c:pt>
                <c:pt idx="200">
                  <c:v>0.661805555555556</c:v>
                </c:pt>
                <c:pt idx="201">
                  <c:v>0.662152777777778</c:v>
                </c:pt>
                <c:pt idx="202">
                  <c:v>0.6625</c:v>
                </c:pt>
                <c:pt idx="203">
                  <c:v>0.662847222222222</c:v>
                </c:pt>
                <c:pt idx="204">
                  <c:v>0.663194444444444</c:v>
                </c:pt>
                <c:pt idx="205">
                  <c:v>0.663541666666667</c:v>
                </c:pt>
                <c:pt idx="206">
                  <c:v>0.663888888888889</c:v>
                </c:pt>
                <c:pt idx="207">
                  <c:v>0.664236111111111</c:v>
                </c:pt>
                <c:pt idx="208">
                  <c:v>0.664583333333333</c:v>
                </c:pt>
                <c:pt idx="209">
                  <c:v>0.664930555555556</c:v>
                </c:pt>
                <c:pt idx="210">
                  <c:v>0.665277777777778</c:v>
                </c:pt>
                <c:pt idx="211">
                  <c:v>0.665625</c:v>
                </c:pt>
                <c:pt idx="212">
                  <c:v>0.665972222222222</c:v>
                </c:pt>
                <c:pt idx="213">
                  <c:v>0.666319444444445</c:v>
                </c:pt>
                <c:pt idx="214">
                  <c:v>0.666666666666667</c:v>
                </c:pt>
                <c:pt idx="215">
                  <c:v>0.667013888888889</c:v>
                </c:pt>
                <c:pt idx="216">
                  <c:v>0.667361111111111</c:v>
                </c:pt>
                <c:pt idx="217">
                  <c:v>0.667708333333333</c:v>
                </c:pt>
                <c:pt idx="218">
                  <c:v>0.668055555555556</c:v>
                </c:pt>
                <c:pt idx="219">
                  <c:v>0.668402777777778</c:v>
                </c:pt>
                <c:pt idx="220">
                  <c:v>0.66875</c:v>
                </c:pt>
                <c:pt idx="221">
                  <c:v>0.669097222222222</c:v>
                </c:pt>
                <c:pt idx="222">
                  <c:v>0.669444444444445</c:v>
                </c:pt>
                <c:pt idx="223">
                  <c:v>0.669791666666667</c:v>
                </c:pt>
                <c:pt idx="224">
                  <c:v>0.670138888888889</c:v>
                </c:pt>
                <c:pt idx="225">
                  <c:v>0.670486111111111</c:v>
                </c:pt>
                <c:pt idx="226">
                  <c:v>0.670833333333333</c:v>
                </c:pt>
                <c:pt idx="227">
                  <c:v>0.671180555555556</c:v>
                </c:pt>
                <c:pt idx="228">
                  <c:v>0.671527777777778</c:v>
                </c:pt>
                <c:pt idx="229">
                  <c:v>0.671875</c:v>
                </c:pt>
                <c:pt idx="230">
                  <c:v>0.672222222222222</c:v>
                </c:pt>
                <c:pt idx="231">
                  <c:v>0.672569444444444</c:v>
                </c:pt>
                <c:pt idx="232">
                  <c:v>0.672916666666667</c:v>
                </c:pt>
                <c:pt idx="233">
                  <c:v>0.673263888888889</c:v>
                </c:pt>
                <c:pt idx="234">
                  <c:v>0.673611111111111</c:v>
                </c:pt>
                <c:pt idx="235">
                  <c:v>0.673958333333333</c:v>
                </c:pt>
                <c:pt idx="236">
                  <c:v>0.674305555555556</c:v>
                </c:pt>
                <c:pt idx="237">
                  <c:v>0.674652777777778</c:v>
                </c:pt>
                <c:pt idx="238">
                  <c:v>0.675</c:v>
                </c:pt>
                <c:pt idx="239">
                  <c:v>0.675347222222222</c:v>
                </c:pt>
                <c:pt idx="240">
                  <c:v>0.675694444444445</c:v>
                </c:pt>
                <c:pt idx="241">
                  <c:v>0.676041666666667</c:v>
                </c:pt>
                <c:pt idx="242">
                  <c:v>0.676388888888889</c:v>
                </c:pt>
                <c:pt idx="243">
                  <c:v>0.676736111111111</c:v>
                </c:pt>
                <c:pt idx="244">
                  <c:v>0.677083333333333</c:v>
                </c:pt>
                <c:pt idx="245">
                  <c:v>0.677430555555556</c:v>
                </c:pt>
                <c:pt idx="246">
                  <c:v>0.677777777777778</c:v>
                </c:pt>
                <c:pt idx="247">
                  <c:v>0.678125</c:v>
                </c:pt>
                <c:pt idx="248">
                  <c:v>0.678472222222222</c:v>
                </c:pt>
                <c:pt idx="249">
                  <c:v>0.678819444444444</c:v>
                </c:pt>
                <c:pt idx="250">
                  <c:v>0.679166666666667</c:v>
                </c:pt>
                <c:pt idx="251">
                  <c:v>0.679513888888889</c:v>
                </c:pt>
                <c:pt idx="252">
                  <c:v>0.679861111111111</c:v>
                </c:pt>
                <c:pt idx="253">
                  <c:v>0.680208333333333</c:v>
                </c:pt>
                <c:pt idx="254">
                  <c:v>0.680555555555556</c:v>
                </c:pt>
                <c:pt idx="255">
                  <c:v>0.680902777777778</c:v>
                </c:pt>
                <c:pt idx="256">
                  <c:v>0.68125</c:v>
                </c:pt>
                <c:pt idx="257">
                  <c:v>0.681597222222222</c:v>
                </c:pt>
                <c:pt idx="258">
                  <c:v>0.681944444444445</c:v>
                </c:pt>
                <c:pt idx="259">
                  <c:v>0.682291666666667</c:v>
                </c:pt>
                <c:pt idx="260">
                  <c:v>0.682638888888889</c:v>
                </c:pt>
                <c:pt idx="261">
                  <c:v>0.682986111111111</c:v>
                </c:pt>
                <c:pt idx="262">
                  <c:v>0.683333333333333</c:v>
                </c:pt>
                <c:pt idx="263">
                  <c:v>0.683680555555556</c:v>
                </c:pt>
                <c:pt idx="264">
                  <c:v>0.684027777777778</c:v>
                </c:pt>
                <c:pt idx="265">
                  <c:v>0.684375</c:v>
                </c:pt>
                <c:pt idx="266">
                  <c:v>0.684722222222222</c:v>
                </c:pt>
                <c:pt idx="267">
                  <c:v>0.685069444444445</c:v>
                </c:pt>
                <c:pt idx="268">
                  <c:v>0.685416666666667</c:v>
                </c:pt>
                <c:pt idx="269">
                  <c:v>0.685763888888889</c:v>
                </c:pt>
                <c:pt idx="270">
                  <c:v>0.686111111111111</c:v>
                </c:pt>
                <c:pt idx="271">
                  <c:v>0.686458333333333</c:v>
                </c:pt>
                <c:pt idx="272">
                  <c:v>0.686805555555556</c:v>
                </c:pt>
                <c:pt idx="273">
                  <c:v>0.687152777777778</c:v>
                </c:pt>
                <c:pt idx="274">
                  <c:v>0.6875</c:v>
                </c:pt>
                <c:pt idx="275">
                  <c:v>0.687847222222222</c:v>
                </c:pt>
                <c:pt idx="276">
                  <c:v>0.688194444444444</c:v>
                </c:pt>
                <c:pt idx="277">
                  <c:v>0.688541666666667</c:v>
                </c:pt>
                <c:pt idx="278">
                  <c:v>0.688888888888889</c:v>
                </c:pt>
                <c:pt idx="279">
                  <c:v>0.689236111111111</c:v>
                </c:pt>
                <c:pt idx="280">
                  <c:v>0.689583333333333</c:v>
                </c:pt>
                <c:pt idx="281">
                  <c:v>0.689930555555556</c:v>
                </c:pt>
                <c:pt idx="282">
                  <c:v>0.690277777777778</c:v>
                </c:pt>
                <c:pt idx="283">
                  <c:v>0.690625</c:v>
                </c:pt>
                <c:pt idx="284">
                  <c:v>0.690972222222222</c:v>
                </c:pt>
                <c:pt idx="285">
                  <c:v>0.691319444444445</c:v>
                </c:pt>
                <c:pt idx="286">
                  <c:v>0.691666666666667</c:v>
                </c:pt>
                <c:pt idx="287">
                  <c:v>0.692013888888889</c:v>
                </c:pt>
                <c:pt idx="288">
                  <c:v>0.692361111111111</c:v>
                </c:pt>
                <c:pt idx="289">
                  <c:v>0.692708333333333</c:v>
                </c:pt>
                <c:pt idx="290">
                  <c:v>0.693055555555556</c:v>
                </c:pt>
                <c:pt idx="291">
                  <c:v>0.693402777777778</c:v>
                </c:pt>
                <c:pt idx="292">
                  <c:v>0.69375</c:v>
                </c:pt>
                <c:pt idx="293">
                  <c:v>0.694097222222222</c:v>
                </c:pt>
                <c:pt idx="294">
                  <c:v>0.694444444444444</c:v>
                </c:pt>
                <c:pt idx="295">
                  <c:v>0.694791666666667</c:v>
                </c:pt>
                <c:pt idx="296">
                  <c:v>0.695138888888889</c:v>
                </c:pt>
                <c:pt idx="297">
                  <c:v>0.695486111111111</c:v>
                </c:pt>
                <c:pt idx="298">
                  <c:v>0.695833333333333</c:v>
                </c:pt>
                <c:pt idx="299">
                  <c:v>0.696180555555556</c:v>
                </c:pt>
                <c:pt idx="300">
                  <c:v>0.696527777777778</c:v>
                </c:pt>
                <c:pt idx="301">
                  <c:v>0.696875</c:v>
                </c:pt>
                <c:pt idx="302">
                  <c:v>0.697222222222222</c:v>
                </c:pt>
                <c:pt idx="303">
                  <c:v>0.697569444444445</c:v>
                </c:pt>
                <c:pt idx="304">
                  <c:v>0.697916666666667</c:v>
                </c:pt>
                <c:pt idx="305">
                  <c:v>0.698263888888889</c:v>
                </c:pt>
                <c:pt idx="306">
                  <c:v>0.698611111111111</c:v>
                </c:pt>
                <c:pt idx="307">
                  <c:v>0.698958333333333</c:v>
                </c:pt>
                <c:pt idx="308">
                  <c:v>0.699305555555556</c:v>
                </c:pt>
                <c:pt idx="309">
                  <c:v>0.699652777777778</c:v>
                </c:pt>
                <c:pt idx="310">
                  <c:v>0.7</c:v>
                </c:pt>
                <c:pt idx="311">
                  <c:v>0.700347222222222</c:v>
                </c:pt>
                <c:pt idx="312">
                  <c:v>0.700694444444445</c:v>
                </c:pt>
                <c:pt idx="313">
                  <c:v>0.701041666666667</c:v>
                </c:pt>
                <c:pt idx="314">
                  <c:v>0.701388888888889</c:v>
                </c:pt>
                <c:pt idx="315">
                  <c:v>0.701736111111111</c:v>
                </c:pt>
                <c:pt idx="316">
                  <c:v>0.702083333333333</c:v>
                </c:pt>
                <c:pt idx="317">
                  <c:v>0.702430555555556</c:v>
                </c:pt>
                <c:pt idx="318">
                  <c:v>0.702777777777778</c:v>
                </c:pt>
                <c:pt idx="319">
                  <c:v>0.703125</c:v>
                </c:pt>
                <c:pt idx="320">
                  <c:v>0.703472222222222</c:v>
                </c:pt>
                <c:pt idx="321">
                  <c:v>0.703819444444444</c:v>
                </c:pt>
                <c:pt idx="322">
                  <c:v>0.704166666666667</c:v>
                </c:pt>
                <c:pt idx="323">
                  <c:v>0.704513888888889</c:v>
                </c:pt>
                <c:pt idx="324">
                  <c:v>0.704861111111111</c:v>
                </c:pt>
                <c:pt idx="325">
                  <c:v>0.705208333333333</c:v>
                </c:pt>
                <c:pt idx="326">
                  <c:v>0.705555555555556</c:v>
                </c:pt>
                <c:pt idx="327">
                  <c:v>0.705902777777778</c:v>
                </c:pt>
                <c:pt idx="328">
                  <c:v>0.70625</c:v>
                </c:pt>
                <c:pt idx="329">
                  <c:v>0.706597222222222</c:v>
                </c:pt>
                <c:pt idx="330">
                  <c:v>0.706944444444445</c:v>
                </c:pt>
                <c:pt idx="331">
                  <c:v>0.707291666666667</c:v>
                </c:pt>
                <c:pt idx="332">
                  <c:v>0.707638888888889</c:v>
                </c:pt>
                <c:pt idx="333">
                  <c:v>0.707986111111111</c:v>
                </c:pt>
                <c:pt idx="334">
                  <c:v>0.708333333333333</c:v>
                </c:pt>
                <c:pt idx="335">
                  <c:v>0.708680555555556</c:v>
                </c:pt>
                <c:pt idx="336">
                  <c:v>0.709027777777778</c:v>
                </c:pt>
                <c:pt idx="337">
                  <c:v>0.709375</c:v>
                </c:pt>
                <c:pt idx="338">
                  <c:v>0.709722222222222</c:v>
                </c:pt>
                <c:pt idx="339">
                  <c:v>0.710069444444444</c:v>
                </c:pt>
                <c:pt idx="340">
                  <c:v>0.710416666666667</c:v>
                </c:pt>
                <c:pt idx="341">
                  <c:v>0.710763888888889</c:v>
                </c:pt>
                <c:pt idx="342">
                  <c:v>0.711111111111111</c:v>
                </c:pt>
                <c:pt idx="343">
                  <c:v>0.711458333333333</c:v>
                </c:pt>
                <c:pt idx="344">
                  <c:v>0.711805555555556</c:v>
                </c:pt>
                <c:pt idx="345">
                  <c:v>0.712152777777778</c:v>
                </c:pt>
                <c:pt idx="346">
                  <c:v>0.7125</c:v>
                </c:pt>
                <c:pt idx="347">
                  <c:v>0.712847222222222</c:v>
                </c:pt>
                <c:pt idx="348">
                  <c:v>0.713194444444445</c:v>
                </c:pt>
                <c:pt idx="349">
                  <c:v>0.713541666666667</c:v>
                </c:pt>
                <c:pt idx="350">
                  <c:v>0.713888888888889</c:v>
                </c:pt>
                <c:pt idx="351">
                  <c:v>0.714236111111111</c:v>
                </c:pt>
                <c:pt idx="352">
                  <c:v>0.714583333333333</c:v>
                </c:pt>
                <c:pt idx="353">
                  <c:v>0.714930555555556</c:v>
                </c:pt>
                <c:pt idx="354">
                  <c:v>0.715277777777778</c:v>
                </c:pt>
                <c:pt idx="355">
                  <c:v>0.715625</c:v>
                </c:pt>
                <c:pt idx="356">
                  <c:v>0.715972222222222</c:v>
                </c:pt>
                <c:pt idx="357">
                  <c:v>0.716319444444445</c:v>
                </c:pt>
                <c:pt idx="358">
                  <c:v>0.716666666666667</c:v>
                </c:pt>
                <c:pt idx="359">
                  <c:v>0.717013888888889</c:v>
                </c:pt>
                <c:pt idx="360">
                  <c:v>0.717361111111111</c:v>
                </c:pt>
                <c:pt idx="361">
                  <c:v>0.717708333333333</c:v>
                </c:pt>
                <c:pt idx="362">
                  <c:v>0.718055555555556</c:v>
                </c:pt>
                <c:pt idx="363">
                  <c:v>0.718402777777778</c:v>
                </c:pt>
                <c:pt idx="364">
                  <c:v>0.71875</c:v>
                </c:pt>
                <c:pt idx="365">
                  <c:v>0.719097222222222</c:v>
                </c:pt>
                <c:pt idx="366">
                  <c:v>0.719444444444444</c:v>
                </c:pt>
                <c:pt idx="367">
                  <c:v>0.719791666666667</c:v>
                </c:pt>
                <c:pt idx="368">
                  <c:v>0.720138888888889</c:v>
                </c:pt>
                <c:pt idx="369">
                  <c:v>0.720486111111111</c:v>
                </c:pt>
                <c:pt idx="370">
                  <c:v>0.720833333333333</c:v>
                </c:pt>
                <c:pt idx="371">
                  <c:v>0.721180555555556</c:v>
                </c:pt>
                <c:pt idx="372">
                  <c:v>0.721527777777778</c:v>
                </c:pt>
                <c:pt idx="373">
                  <c:v>0.721875</c:v>
                </c:pt>
                <c:pt idx="374">
                  <c:v>0.722222222222222</c:v>
                </c:pt>
                <c:pt idx="375">
                  <c:v>0.722569444444445</c:v>
                </c:pt>
                <c:pt idx="376">
                  <c:v>0.722916666666667</c:v>
                </c:pt>
                <c:pt idx="377">
                  <c:v>0.723263888888889</c:v>
                </c:pt>
                <c:pt idx="378">
                  <c:v>0.723611111111111</c:v>
                </c:pt>
                <c:pt idx="379">
                  <c:v>0.723958333333333</c:v>
                </c:pt>
                <c:pt idx="380">
                  <c:v>0.724305555555556</c:v>
                </c:pt>
                <c:pt idx="381">
                  <c:v>0.724652777777778</c:v>
                </c:pt>
                <c:pt idx="382">
                  <c:v>0.725</c:v>
                </c:pt>
                <c:pt idx="383">
                  <c:v>0.725347222222222</c:v>
                </c:pt>
                <c:pt idx="384">
                  <c:v>0.725694444444444</c:v>
                </c:pt>
                <c:pt idx="385">
                  <c:v>0.726041666666667</c:v>
                </c:pt>
                <c:pt idx="386">
                  <c:v>0.726388888888889</c:v>
                </c:pt>
                <c:pt idx="387">
                  <c:v>0.726736111111111</c:v>
                </c:pt>
                <c:pt idx="388">
                  <c:v>0.727083333333333</c:v>
                </c:pt>
                <c:pt idx="389">
                  <c:v>0.727430555555556</c:v>
                </c:pt>
                <c:pt idx="390">
                  <c:v>0.727777777777778</c:v>
                </c:pt>
                <c:pt idx="391">
                  <c:v>0.728125</c:v>
                </c:pt>
                <c:pt idx="392">
                  <c:v>0.728472222222222</c:v>
                </c:pt>
                <c:pt idx="393">
                  <c:v>0.728819444444445</c:v>
                </c:pt>
                <c:pt idx="394">
                  <c:v>0.729166666666667</c:v>
                </c:pt>
                <c:pt idx="395">
                  <c:v>0.729513888888889</c:v>
                </c:pt>
                <c:pt idx="396">
                  <c:v>0.729861111111111</c:v>
                </c:pt>
                <c:pt idx="397">
                  <c:v>0.730208333333333</c:v>
                </c:pt>
                <c:pt idx="398">
                  <c:v>0.730555555555556</c:v>
                </c:pt>
                <c:pt idx="399">
                  <c:v>0.730902777777778</c:v>
                </c:pt>
                <c:pt idx="400">
                  <c:v>0.73125</c:v>
                </c:pt>
                <c:pt idx="401">
                  <c:v>0.731597222222222</c:v>
                </c:pt>
                <c:pt idx="402">
                  <c:v>0.731944444444445</c:v>
                </c:pt>
                <c:pt idx="403">
                  <c:v>0.732291666666667</c:v>
                </c:pt>
                <c:pt idx="404">
                  <c:v>0.732638888888889</c:v>
                </c:pt>
                <c:pt idx="405">
                  <c:v>0.732986111111111</c:v>
                </c:pt>
                <c:pt idx="406">
                  <c:v>0.733333333333333</c:v>
                </c:pt>
                <c:pt idx="407">
                  <c:v>0.733680555555556</c:v>
                </c:pt>
                <c:pt idx="408">
                  <c:v>0.734027777777778</c:v>
                </c:pt>
                <c:pt idx="409">
                  <c:v>0.734375</c:v>
                </c:pt>
                <c:pt idx="410">
                  <c:v>0.734722222222222</c:v>
                </c:pt>
                <c:pt idx="411">
                  <c:v>0.735069444444444</c:v>
                </c:pt>
                <c:pt idx="412">
                  <c:v>0.735416666666667</c:v>
                </c:pt>
                <c:pt idx="413">
                  <c:v>0.735763888888889</c:v>
                </c:pt>
                <c:pt idx="414">
                  <c:v>0.736111111111111</c:v>
                </c:pt>
                <c:pt idx="415">
                  <c:v>0.736458333333333</c:v>
                </c:pt>
                <c:pt idx="416">
                  <c:v>0.736805555555556</c:v>
                </c:pt>
                <c:pt idx="417">
                  <c:v>0.737152777777778</c:v>
                </c:pt>
                <c:pt idx="418">
                  <c:v>0.7375</c:v>
                </c:pt>
                <c:pt idx="419">
                  <c:v>0.737847222222222</c:v>
                </c:pt>
                <c:pt idx="420">
                  <c:v>0.738194444444445</c:v>
                </c:pt>
                <c:pt idx="421">
                  <c:v>0.738541666666667</c:v>
                </c:pt>
                <c:pt idx="422">
                  <c:v>0.738888888888889</c:v>
                </c:pt>
                <c:pt idx="423">
                  <c:v>0.739236111111111</c:v>
                </c:pt>
                <c:pt idx="424">
                  <c:v>0.739583333333333</c:v>
                </c:pt>
                <c:pt idx="425">
                  <c:v>0.739930555555556</c:v>
                </c:pt>
                <c:pt idx="426">
                  <c:v>0.740277777777778</c:v>
                </c:pt>
                <c:pt idx="427">
                  <c:v>0.740625</c:v>
                </c:pt>
                <c:pt idx="428">
                  <c:v>0.740972222222222</c:v>
                </c:pt>
                <c:pt idx="429">
                  <c:v>0.741319444444444</c:v>
                </c:pt>
                <c:pt idx="430">
                  <c:v>0.741666666666667</c:v>
                </c:pt>
                <c:pt idx="431">
                  <c:v>0.742013888888889</c:v>
                </c:pt>
                <c:pt idx="432">
                  <c:v>0.742361111111111</c:v>
                </c:pt>
                <c:pt idx="433">
                  <c:v>0.742708333333333</c:v>
                </c:pt>
                <c:pt idx="434">
                  <c:v>0.743055555555556</c:v>
                </c:pt>
                <c:pt idx="435">
                  <c:v>0.743402777777778</c:v>
                </c:pt>
                <c:pt idx="436">
                  <c:v>0.74375</c:v>
                </c:pt>
                <c:pt idx="437">
                  <c:v>0.744097222222222</c:v>
                </c:pt>
                <c:pt idx="438">
                  <c:v>0.744444444444445</c:v>
                </c:pt>
                <c:pt idx="439">
                  <c:v>0.744791666666667</c:v>
                </c:pt>
                <c:pt idx="440">
                  <c:v>0.745138888888889</c:v>
                </c:pt>
                <c:pt idx="441">
                  <c:v>0.745486111111111</c:v>
                </c:pt>
              </c:numCache>
            </c:numRef>
          </c:xVal>
          <c:yVal>
            <c:numRef>
              <c:f>'Flight data'!$M$2:$M$443</c:f>
              <c:numCache>
                <c:formatCode>0.00</c:formatCode>
                <c:ptCount val="442"/>
                <c:pt idx="0">
                  <c:v>4.176</c:v>
                </c:pt>
                <c:pt idx="1">
                  <c:v>4.1756</c:v>
                </c:pt>
                <c:pt idx="2">
                  <c:v>4.1752</c:v>
                </c:pt>
                <c:pt idx="3">
                  <c:v>4.1748</c:v>
                </c:pt>
                <c:pt idx="4">
                  <c:v>4.1744</c:v>
                </c:pt>
                <c:pt idx="5">
                  <c:v>4.174</c:v>
                </c:pt>
                <c:pt idx="6">
                  <c:v>4.1736</c:v>
                </c:pt>
                <c:pt idx="7">
                  <c:v>4.1732</c:v>
                </c:pt>
                <c:pt idx="8">
                  <c:v>4.1728</c:v>
                </c:pt>
                <c:pt idx="9">
                  <c:v>4.1724</c:v>
                </c:pt>
                <c:pt idx="10">
                  <c:v>4.172</c:v>
                </c:pt>
                <c:pt idx="11">
                  <c:v>4.1716</c:v>
                </c:pt>
                <c:pt idx="12">
                  <c:v>4.1712</c:v>
                </c:pt>
                <c:pt idx="13">
                  <c:v>4.1708</c:v>
                </c:pt>
                <c:pt idx="14">
                  <c:v>4.1704</c:v>
                </c:pt>
                <c:pt idx="15">
                  <c:v>4.17</c:v>
                </c:pt>
                <c:pt idx="16">
                  <c:v>4.1696</c:v>
                </c:pt>
                <c:pt idx="17">
                  <c:v>4.1692</c:v>
                </c:pt>
                <c:pt idx="18">
                  <c:v>4.1688</c:v>
                </c:pt>
                <c:pt idx="19">
                  <c:v>4.1684</c:v>
                </c:pt>
                <c:pt idx="20">
                  <c:v>4.168</c:v>
                </c:pt>
                <c:pt idx="21">
                  <c:v>4.1676</c:v>
                </c:pt>
                <c:pt idx="22">
                  <c:v>4.1672</c:v>
                </c:pt>
                <c:pt idx="23">
                  <c:v>4.1668</c:v>
                </c:pt>
                <c:pt idx="24">
                  <c:v>4.1664</c:v>
                </c:pt>
                <c:pt idx="25">
                  <c:v>4.166</c:v>
                </c:pt>
                <c:pt idx="26">
                  <c:v>4.1656</c:v>
                </c:pt>
                <c:pt idx="27">
                  <c:v>4.1652</c:v>
                </c:pt>
                <c:pt idx="28">
                  <c:v>4.1648</c:v>
                </c:pt>
                <c:pt idx="29">
                  <c:v>4.1644</c:v>
                </c:pt>
                <c:pt idx="30">
                  <c:v>4.164</c:v>
                </c:pt>
                <c:pt idx="31">
                  <c:v>4.1636</c:v>
                </c:pt>
                <c:pt idx="32">
                  <c:v>4.1632</c:v>
                </c:pt>
                <c:pt idx="33">
                  <c:v>4.1628</c:v>
                </c:pt>
                <c:pt idx="34">
                  <c:v>4.1624</c:v>
                </c:pt>
                <c:pt idx="35">
                  <c:v>4.162</c:v>
                </c:pt>
                <c:pt idx="36">
                  <c:v>4.1616</c:v>
                </c:pt>
                <c:pt idx="37">
                  <c:v>4.1612</c:v>
                </c:pt>
                <c:pt idx="38">
                  <c:v>4.1608</c:v>
                </c:pt>
                <c:pt idx="39">
                  <c:v>4.1604</c:v>
                </c:pt>
                <c:pt idx="40">
                  <c:v>4.16</c:v>
                </c:pt>
                <c:pt idx="41">
                  <c:v>4.1596</c:v>
                </c:pt>
                <c:pt idx="42">
                  <c:v>4.1592</c:v>
                </c:pt>
                <c:pt idx="43">
                  <c:v>4.1588</c:v>
                </c:pt>
                <c:pt idx="44">
                  <c:v>4.1584</c:v>
                </c:pt>
                <c:pt idx="45">
                  <c:v>4.158</c:v>
                </c:pt>
                <c:pt idx="46">
                  <c:v>4.1576</c:v>
                </c:pt>
                <c:pt idx="47">
                  <c:v>4.1572</c:v>
                </c:pt>
                <c:pt idx="48">
                  <c:v>4.1568</c:v>
                </c:pt>
                <c:pt idx="49">
                  <c:v>4.1564</c:v>
                </c:pt>
                <c:pt idx="50">
                  <c:v>4.156</c:v>
                </c:pt>
                <c:pt idx="51">
                  <c:v>4.1556</c:v>
                </c:pt>
                <c:pt idx="52">
                  <c:v>4.1552</c:v>
                </c:pt>
                <c:pt idx="53">
                  <c:v>4.1548</c:v>
                </c:pt>
                <c:pt idx="54">
                  <c:v>4.1544</c:v>
                </c:pt>
                <c:pt idx="55">
                  <c:v>4.154</c:v>
                </c:pt>
                <c:pt idx="56">
                  <c:v>4.1536</c:v>
                </c:pt>
                <c:pt idx="57">
                  <c:v>4.1532</c:v>
                </c:pt>
                <c:pt idx="58">
                  <c:v>4.1528</c:v>
                </c:pt>
                <c:pt idx="59">
                  <c:v>4.1524</c:v>
                </c:pt>
                <c:pt idx="60">
                  <c:v>4.152</c:v>
                </c:pt>
                <c:pt idx="61">
                  <c:v>4.1516</c:v>
                </c:pt>
                <c:pt idx="62">
                  <c:v>4.1512</c:v>
                </c:pt>
                <c:pt idx="63">
                  <c:v>4.1508</c:v>
                </c:pt>
                <c:pt idx="64">
                  <c:v>4.1504</c:v>
                </c:pt>
                <c:pt idx="65">
                  <c:v>4.15</c:v>
                </c:pt>
                <c:pt idx="66">
                  <c:v>4.1496</c:v>
                </c:pt>
                <c:pt idx="67">
                  <c:v>4.1492</c:v>
                </c:pt>
                <c:pt idx="68">
                  <c:v>4.1488</c:v>
                </c:pt>
                <c:pt idx="69">
                  <c:v>4.1484</c:v>
                </c:pt>
                <c:pt idx="70">
                  <c:v>4.148</c:v>
                </c:pt>
                <c:pt idx="71">
                  <c:v>4.1476</c:v>
                </c:pt>
                <c:pt idx="72">
                  <c:v>4.1472</c:v>
                </c:pt>
                <c:pt idx="73">
                  <c:v>4.1468</c:v>
                </c:pt>
                <c:pt idx="74">
                  <c:v>4.1464</c:v>
                </c:pt>
                <c:pt idx="75">
                  <c:v>4.146</c:v>
                </c:pt>
                <c:pt idx="76">
                  <c:v>4.1456</c:v>
                </c:pt>
                <c:pt idx="77">
                  <c:v>4.1452</c:v>
                </c:pt>
                <c:pt idx="78">
                  <c:v>4.1448</c:v>
                </c:pt>
                <c:pt idx="79">
                  <c:v>4.1444</c:v>
                </c:pt>
                <c:pt idx="80">
                  <c:v>4.144</c:v>
                </c:pt>
                <c:pt idx="81">
                  <c:v>4.1436</c:v>
                </c:pt>
                <c:pt idx="82">
                  <c:v>4.1432</c:v>
                </c:pt>
                <c:pt idx="83">
                  <c:v>4.1428</c:v>
                </c:pt>
                <c:pt idx="84">
                  <c:v>4.1424</c:v>
                </c:pt>
                <c:pt idx="85">
                  <c:v>4.142</c:v>
                </c:pt>
                <c:pt idx="86">
                  <c:v>4.1416</c:v>
                </c:pt>
                <c:pt idx="87">
                  <c:v>4.1412</c:v>
                </c:pt>
                <c:pt idx="88">
                  <c:v>4.1408</c:v>
                </c:pt>
                <c:pt idx="89">
                  <c:v>4.1404</c:v>
                </c:pt>
                <c:pt idx="90">
                  <c:v>4.14</c:v>
                </c:pt>
                <c:pt idx="91">
                  <c:v>4.1396</c:v>
                </c:pt>
                <c:pt idx="92">
                  <c:v>4.1392</c:v>
                </c:pt>
                <c:pt idx="93">
                  <c:v>4.1388</c:v>
                </c:pt>
                <c:pt idx="94">
                  <c:v>4.1384</c:v>
                </c:pt>
                <c:pt idx="95">
                  <c:v>4.138</c:v>
                </c:pt>
                <c:pt idx="96">
                  <c:v>4.1376</c:v>
                </c:pt>
                <c:pt idx="97">
                  <c:v>4.1372</c:v>
                </c:pt>
                <c:pt idx="98">
                  <c:v>4.1368</c:v>
                </c:pt>
                <c:pt idx="99">
                  <c:v>4.1364</c:v>
                </c:pt>
                <c:pt idx="100">
                  <c:v>4.13600000000001</c:v>
                </c:pt>
                <c:pt idx="101">
                  <c:v>4.13560000000001</c:v>
                </c:pt>
                <c:pt idx="102">
                  <c:v>4.13520000000001</c:v>
                </c:pt>
                <c:pt idx="103">
                  <c:v>4.13480000000001</c:v>
                </c:pt>
                <c:pt idx="104">
                  <c:v>4.13440000000001</c:v>
                </c:pt>
                <c:pt idx="105">
                  <c:v>4.13400000000001</c:v>
                </c:pt>
                <c:pt idx="106">
                  <c:v>4.13360000000001</c:v>
                </c:pt>
                <c:pt idx="107">
                  <c:v>4.13320000000001</c:v>
                </c:pt>
                <c:pt idx="108">
                  <c:v>4.13280000000001</c:v>
                </c:pt>
                <c:pt idx="109">
                  <c:v>4.13240000000001</c:v>
                </c:pt>
                <c:pt idx="110">
                  <c:v>4.13200000000001</c:v>
                </c:pt>
                <c:pt idx="111">
                  <c:v>4.13160000000001</c:v>
                </c:pt>
                <c:pt idx="112">
                  <c:v>4.13120000000001</c:v>
                </c:pt>
                <c:pt idx="113">
                  <c:v>4.13080000000001</c:v>
                </c:pt>
                <c:pt idx="114">
                  <c:v>4.13040000000001</c:v>
                </c:pt>
                <c:pt idx="115">
                  <c:v>4.13000000000001</c:v>
                </c:pt>
                <c:pt idx="116">
                  <c:v>4.12960000000001</c:v>
                </c:pt>
                <c:pt idx="117">
                  <c:v>4.12920000000001</c:v>
                </c:pt>
                <c:pt idx="118">
                  <c:v>4.12880000000001</c:v>
                </c:pt>
                <c:pt idx="119">
                  <c:v>4.12840000000001</c:v>
                </c:pt>
                <c:pt idx="120">
                  <c:v>4.12800000000001</c:v>
                </c:pt>
                <c:pt idx="121">
                  <c:v>4.12760000000001</c:v>
                </c:pt>
                <c:pt idx="122">
                  <c:v>4.12720000000001</c:v>
                </c:pt>
                <c:pt idx="123">
                  <c:v>4.12680000000001</c:v>
                </c:pt>
                <c:pt idx="124">
                  <c:v>4.12640000000001</c:v>
                </c:pt>
                <c:pt idx="125">
                  <c:v>4.12600000000001</c:v>
                </c:pt>
                <c:pt idx="126">
                  <c:v>4.12560000000001</c:v>
                </c:pt>
                <c:pt idx="127">
                  <c:v>4.12520000000001</c:v>
                </c:pt>
                <c:pt idx="128">
                  <c:v>4.12480000000001</c:v>
                </c:pt>
                <c:pt idx="129">
                  <c:v>4.12440000000001</c:v>
                </c:pt>
                <c:pt idx="130">
                  <c:v>4.12400000000001</c:v>
                </c:pt>
                <c:pt idx="131">
                  <c:v>4.12360000000001</c:v>
                </c:pt>
                <c:pt idx="132">
                  <c:v>4.12320000000001</c:v>
                </c:pt>
                <c:pt idx="133">
                  <c:v>4.12280000000001</c:v>
                </c:pt>
                <c:pt idx="134">
                  <c:v>4.12240000000001</c:v>
                </c:pt>
                <c:pt idx="135">
                  <c:v>4.12200000000001</c:v>
                </c:pt>
                <c:pt idx="136">
                  <c:v>4.12160000000001</c:v>
                </c:pt>
                <c:pt idx="137">
                  <c:v>4.12120000000001</c:v>
                </c:pt>
                <c:pt idx="138">
                  <c:v>4.12080000000001</c:v>
                </c:pt>
                <c:pt idx="139">
                  <c:v>4.12040000000001</c:v>
                </c:pt>
                <c:pt idx="140">
                  <c:v>4.12000000000001</c:v>
                </c:pt>
                <c:pt idx="141">
                  <c:v>4.11960000000001</c:v>
                </c:pt>
                <c:pt idx="142">
                  <c:v>4.11920000000001</c:v>
                </c:pt>
                <c:pt idx="143">
                  <c:v>4.11880000000001</c:v>
                </c:pt>
                <c:pt idx="144">
                  <c:v>4.11840000000001</c:v>
                </c:pt>
                <c:pt idx="145">
                  <c:v>4.11800000000001</c:v>
                </c:pt>
                <c:pt idx="146">
                  <c:v>4.11760000000001</c:v>
                </c:pt>
                <c:pt idx="147">
                  <c:v>4.11720000000001</c:v>
                </c:pt>
                <c:pt idx="148">
                  <c:v>4.11680000000001</c:v>
                </c:pt>
                <c:pt idx="149">
                  <c:v>4.11640000000001</c:v>
                </c:pt>
                <c:pt idx="150">
                  <c:v>4.11600000000001</c:v>
                </c:pt>
                <c:pt idx="151">
                  <c:v>4.11560000000001</c:v>
                </c:pt>
                <c:pt idx="152">
                  <c:v>4.11520000000001</c:v>
                </c:pt>
                <c:pt idx="153">
                  <c:v>4.11480000000001</c:v>
                </c:pt>
                <c:pt idx="154">
                  <c:v>4.11440000000001</c:v>
                </c:pt>
                <c:pt idx="155">
                  <c:v>4.11400000000001</c:v>
                </c:pt>
                <c:pt idx="156">
                  <c:v>4.11360000000001</c:v>
                </c:pt>
                <c:pt idx="157">
                  <c:v>4.11320000000001</c:v>
                </c:pt>
                <c:pt idx="158">
                  <c:v>4.11280000000001</c:v>
                </c:pt>
                <c:pt idx="159">
                  <c:v>4.11240000000001</c:v>
                </c:pt>
                <c:pt idx="160">
                  <c:v>4.11200000000001</c:v>
                </c:pt>
                <c:pt idx="161">
                  <c:v>4.11160000000001</c:v>
                </c:pt>
                <c:pt idx="162">
                  <c:v>4.11120000000001</c:v>
                </c:pt>
                <c:pt idx="163">
                  <c:v>4.11080000000001</c:v>
                </c:pt>
                <c:pt idx="164">
                  <c:v>4.11040000000001</c:v>
                </c:pt>
                <c:pt idx="165">
                  <c:v>4.11000000000001</c:v>
                </c:pt>
                <c:pt idx="166">
                  <c:v>4.10960000000001</c:v>
                </c:pt>
                <c:pt idx="167">
                  <c:v>4.10920000000001</c:v>
                </c:pt>
                <c:pt idx="168">
                  <c:v>4.10880000000001</c:v>
                </c:pt>
                <c:pt idx="169">
                  <c:v>4.10840000000001</c:v>
                </c:pt>
                <c:pt idx="170">
                  <c:v>4.10800000000001</c:v>
                </c:pt>
                <c:pt idx="171">
                  <c:v>4.10760000000001</c:v>
                </c:pt>
                <c:pt idx="172">
                  <c:v>4.10720000000001</c:v>
                </c:pt>
                <c:pt idx="173">
                  <c:v>4.10680000000001</c:v>
                </c:pt>
                <c:pt idx="174">
                  <c:v>4.10640000000001</c:v>
                </c:pt>
                <c:pt idx="175">
                  <c:v>4.10600000000001</c:v>
                </c:pt>
                <c:pt idx="176">
                  <c:v>4.10560000000001</c:v>
                </c:pt>
                <c:pt idx="177">
                  <c:v>4.10520000000001</c:v>
                </c:pt>
                <c:pt idx="178">
                  <c:v>4.10480000000001</c:v>
                </c:pt>
                <c:pt idx="179">
                  <c:v>4.10440000000001</c:v>
                </c:pt>
                <c:pt idx="180">
                  <c:v>4.10400000000001</c:v>
                </c:pt>
                <c:pt idx="181">
                  <c:v>4.10360000000001</c:v>
                </c:pt>
                <c:pt idx="182">
                  <c:v>4.10320000000001</c:v>
                </c:pt>
                <c:pt idx="183">
                  <c:v>4.10280000000001</c:v>
                </c:pt>
                <c:pt idx="184">
                  <c:v>4.10240000000001</c:v>
                </c:pt>
                <c:pt idx="185">
                  <c:v>4.10200000000001</c:v>
                </c:pt>
                <c:pt idx="186">
                  <c:v>4.10160000000001</c:v>
                </c:pt>
                <c:pt idx="187">
                  <c:v>4.10120000000001</c:v>
                </c:pt>
                <c:pt idx="188">
                  <c:v>4.10080000000001</c:v>
                </c:pt>
                <c:pt idx="189">
                  <c:v>4.10040000000001</c:v>
                </c:pt>
                <c:pt idx="190">
                  <c:v>4.10000000000001</c:v>
                </c:pt>
                <c:pt idx="191">
                  <c:v>4.09960000000001</c:v>
                </c:pt>
                <c:pt idx="192">
                  <c:v>4.09920000000001</c:v>
                </c:pt>
                <c:pt idx="193">
                  <c:v>4.09880000000001</c:v>
                </c:pt>
                <c:pt idx="194">
                  <c:v>4.09840000000001</c:v>
                </c:pt>
                <c:pt idx="195">
                  <c:v>4.09800000000001</c:v>
                </c:pt>
                <c:pt idx="196">
                  <c:v>4.09760000000001</c:v>
                </c:pt>
                <c:pt idx="197">
                  <c:v>4.09720000000001</c:v>
                </c:pt>
                <c:pt idx="198">
                  <c:v>4.09680000000001</c:v>
                </c:pt>
                <c:pt idx="199">
                  <c:v>4.09640000000001</c:v>
                </c:pt>
                <c:pt idx="200">
                  <c:v>4.09600000000001</c:v>
                </c:pt>
                <c:pt idx="201">
                  <c:v>4.09560000000001</c:v>
                </c:pt>
                <c:pt idx="202">
                  <c:v>4.09520000000001</c:v>
                </c:pt>
                <c:pt idx="203">
                  <c:v>4.09480000000001</c:v>
                </c:pt>
                <c:pt idx="204">
                  <c:v>4.09440000000001</c:v>
                </c:pt>
                <c:pt idx="205">
                  <c:v>4.09400000000001</c:v>
                </c:pt>
                <c:pt idx="206">
                  <c:v>4.09360000000001</c:v>
                </c:pt>
                <c:pt idx="207">
                  <c:v>4.09320000000001</c:v>
                </c:pt>
                <c:pt idx="208">
                  <c:v>4.09280000000001</c:v>
                </c:pt>
                <c:pt idx="209">
                  <c:v>4.09240000000001</c:v>
                </c:pt>
                <c:pt idx="210">
                  <c:v>4.09200000000001</c:v>
                </c:pt>
                <c:pt idx="211">
                  <c:v>4.09160000000001</c:v>
                </c:pt>
                <c:pt idx="212">
                  <c:v>4.09120000000001</c:v>
                </c:pt>
                <c:pt idx="213">
                  <c:v>4.09080000000001</c:v>
                </c:pt>
                <c:pt idx="214">
                  <c:v>4.09040000000001</c:v>
                </c:pt>
                <c:pt idx="215">
                  <c:v>4.09000000000001</c:v>
                </c:pt>
                <c:pt idx="216">
                  <c:v>4.08960000000001</c:v>
                </c:pt>
                <c:pt idx="217">
                  <c:v>4.08920000000001</c:v>
                </c:pt>
                <c:pt idx="218">
                  <c:v>4.08880000000001</c:v>
                </c:pt>
                <c:pt idx="219">
                  <c:v>4.08840000000001</c:v>
                </c:pt>
                <c:pt idx="220">
                  <c:v>4.08800000000001</c:v>
                </c:pt>
                <c:pt idx="221">
                  <c:v>4.08760000000001</c:v>
                </c:pt>
                <c:pt idx="222">
                  <c:v>4.08720000000001</c:v>
                </c:pt>
                <c:pt idx="223">
                  <c:v>4.08680000000001</c:v>
                </c:pt>
                <c:pt idx="224">
                  <c:v>4.08640000000001</c:v>
                </c:pt>
                <c:pt idx="225">
                  <c:v>4.08600000000001</c:v>
                </c:pt>
                <c:pt idx="226">
                  <c:v>4.08560000000001</c:v>
                </c:pt>
                <c:pt idx="227">
                  <c:v>4.08520000000001</c:v>
                </c:pt>
                <c:pt idx="228">
                  <c:v>4.08480000000001</c:v>
                </c:pt>
                <c:pt idx="229">
                  <c:v>4.08440000000001</c:v>
                </c:pt>
                <c:pt idx="230">
                  <c:v>4.08400000000001</c:v>
                </c:pt>
                <c:pt idx="231">
                  <c:v>4.08360000000001</c:v>
                </c:pt>
                <c:pt idx="232">
                  <c:v>4.08320000000001</c:v>
                </c:pt>
                <c:pt idx="233">
                  <c:v>4.08280000000001</c:v>
                </c:pt>
                <c:pt idx="234">
                  <c:v>4.08240000000001</c:v>
                </c:pt>
                <c:pt idx="235">
                  <c:v>4.08200000000001</c:v>
                </c:pt>
                <c:pt idx="236">
                  <c:v>4.08160000000001</c:v>
                </c:pt>
                <c:pt idx="237">
                  <c:v>4.08120000000001</c:v>
                </c:pt>
                <c:pt idx="238">
                  <c:v>4.08080000000001</c:v>
                </c:pt>
                <c:pt idx="239">
                  <c:v>4.08040000000001</c:v>
                </c:pt>
                <c:pt idx="240">
                  <c:v>4.08000000000001</c:v>
                </c:pt>
                <c:pt idx="241">
                  <c:v>4.07960000000001</c:v>
                </c:pt>
                <c:pt idx="242">
                  <c:v>4.07920000000001</c:v>
                </c:pt>
                <c:pt idx="243">
                  <c:v>4.07880000000001</c:v>
                </c:pt>
                <c:pt idx="244">
                  <c:v>4.07840000000001</c:v>
                </c:pt>
                <c:pt idx="245">
                  <c:v>4.07800000000001</c:v>
                </c:pt>
                <c:pt idx="246">
                  <c:v>4.07760000000001</c:v>
                </c:pt>
                <c:pt idx="247">
                  <c:v>4.07720000000001</c:v>
                </c:pt>
                <c:pt idx="248">
                  <c:v>4.07680000000001</c:v>
                </c:pt>
                <c:pt idx="249">
                  <c:v>4.07640000000001</c:v>
                </c:pt>
                <c:pt idx="250">
                  <c:v>4.07600000000001</c:v>
                </c:pt>
                <c:pt idx="251">
                  <c:v>4.07560000000001</c:v>
                </c:pt>
                <c:pt idx="252">
                  <c:v>4.07520000000001</c:v>
                </c:pt>
                <c:pt idx="253">
                  <c:v>4.07480000000001</c:v>
                </c:pt>
                <c:pt idx="254">
                  <c:v>4.07440000000001</c:v>
                </c:pt>
                <c:pt idx="255">
                  <c:v>4.07400000000001</c:v>
                </c:pt>
                <c:pt idx="256">
                  <c:v>4.07360000000001</c:v>
                </c:pt>
                <c:pt idx="257">
                  <c:v>4.07320000000001</c:v>
                </c:pt>
                <c:pt idx="258">
                  <c:v>4.07280000000001</c:v>
                </c:pt>
                <c:pt idx="259">
                  <c:v>4.07240000000001</c:v>
                </c:pt>
                <c:pt idx="260">
                  <c:v>4.07200000000001</c:v>
                </c:pt>
                <c:pt idx="261">
                  <c:v>4.07160000000001</c:v>
                </c:pt>
                <c:pt idx="262">
                  <c:v>4.07120000000001</c:v>
                </c:pt>
                <c:pt idx="263">
                  <c:v>4.07080000000001</c:v>
                </c:pt>
                <c:pt idx="264">
                  <c:v>4.07040000000001</c:v>
                </c:pt>
                <c:pt idx="265">
                  <c:v>4.07000000000001</c:v>
                </c:pt>
                <c:pt idx="266">
                  <c:v>4.06960000000001</c:v>
                </c:pt>
                <c:pt idx="267">
                  <c:v>4.06920000000001</c:v>
                </c:pt>
                <c:pt idx="268">
                  <c:v>4.06880000000001</c:v>
                </c:pt>
                <c:pt idx="269">
                  <c:v>4.06840000000001</c:v>
                </c:pt>
                <c:pt idx="270">
                  <c:v>4.06800000000001</c:v>
                </c:pt>
                <c:pt idx="271">
                  <c:v>4.06760000000001</c:v>
                </c:pt>
                <c:pt idx="272">
                  <c:v>4.06720000000001</c:v>
                </c:pt>
                <c:pt idx="273">
                  <c:v>4.06680000000001</c:v>
                </c:pt>
                <c:pt idx="274">
                  <c:v>4.06640000000001</c:v>
                </c:pt>
                <c:pt idx="275">
                  <c:v>4.06600000000001</c:v>
                </c:pt>
                <c:pt idx="276">
                  <c:v>4.06560000000001</c:v>
                </c:pt>
                <c:pt idx="277">
                  <c:v>4.06520000000001</c:v>
                </c:pt>
                <c:pt idx="278">
                  <c:v>4.06480000000001</c:v>
                </c:pt>
                <c:pt idx="279">
                  <c:v>4.06440000000001</c:v>
                </c:pt>
                <c:pt idx="280">
                  <c:v>4.06400000000001</c:v>
                </c:pt>
                <c:pt idx="281">
                  <c:v>4.06360000000001</c:v>
                </c:pt>
                <c:pt idx="282">
                  <c:v>4.06320000000001</c:v>
                </c:pt>
                <c:pt idx="283">
                  <c:v>4.06280000000001</c:v>
                </c:pt>
                <c:pt idx="284">
                  <c:v>4.06240000000001</c:v>
                </c:pt>
                <c:pt idx="285">
                  <c:v>4.06200000000001</c:v>
                </c:pt>
                <c:pt idx="286">
                  <c:v>4.06160000000001</c:v>
                </c:pt>
                <c:pt idx="287">
                  <c:v>4.06120000000001</c:v>
                </c:pt>
                <c:pt idx="288">
                  <c:v>4.06080000000001</c:v>
                </c:pt>
                <c:pt idx="289">
                  <c:v>4.06040000000001</c:v>
                </c:pt>
                <c:pt idx="290">
                  <c:v>4.06000000000001</c:v>
                </c:pt>
                <c:pt idx="291">
                  <c:v>4.05960000000001</c:v>
                </c:pt>
                <c:pt idx="292">
                  <c:v>4.05920000000001</c:v>
                </c:pt>
                <c:pt idx="293">
                  <c:v>4.05880000000001</c:v>
                </c:pt>
                <c:pt idx="294">
                  <c:v>4.05840000000001</c:v>
                </c:pt>
                <c:pt idx="295">
                  <c:v>4.05800000000001</c:v>
                </c:pt>
                <c:pt idx="296">
                  <c:v>4.05760000000001</c:v>
                </c:pt>
                <c:pt idx="297">
                  <c:v>4.05720000000001</c:v>
                </c:pt>
                <c:pt idx="298">
                  <c:v>4.05680000000001</c:v>
                </c:pt>
                <c:pt idx="299">
                  <c:v>4.05640000000001</c:v>
                </c:pt>
                <c:pt idx="300">
                  <c:v>4.05600000000001</c:v>
                </c:pt>
                <c:pt idx="301">
                  <c:v>4.05560000000001</c:v>
                </c:pt>
                <c:pt idx="302">
                  <c:v>4.05520000000001</c:v>
                </c:pt>
                <c:pt idx="303">
                  <c:v>4.05480000000001</c:v>
                </c:pt>
                <c:pt idx="304">
                  <c:v>4.05440000000001</c:v>
                </c:pt>
                <c:pt idx="305">
                  <c:v>4.05400000000001</c:v>
                </c:pt>
                <c:pt idx="306">
                  <c:v>4.05360000000001</c:v>
                </c:pt>
                <c:pt idx="307">
                  <c:v>4.05320000000001</c:v>
                </c:pt>
                <c:pt idx="308">
                  <c:v>4.05280000000001</c:v>
                </c:pt>
                <c:pt idx="309">
                  <c:v>4.05240000000001</c:v>
                </c:pt>
                <c:pt idx="310">
                  <c:v>4.05200000000001</c:v>
                </c:pt>
                <c:pt idx="311">
                  <c:v>4.05160000000001</c:v>
                </c:pt>
                <c:pt idx="312">
                  <c:v>4.05120000000001</c:v>
                </c:pt>
                <c:pt idx="313">
                  <c:v>4.05080000000001</c:v>
                </c:pt>
                <c:pt idx="314">
                  <c:v>4.05040000000001</c:v>
                </c:pt>
                <c:pt idx="315">
                  <c:v>4.05000000000001</c:v>
                </c:pt>
                <c:pt idx="316">
                  <c:v>4.04960000000001</c:v>
                </c:pt>
                <c:pt idx="317">
                  <c:v>4.04920000000001</c:v>
                </c:pt>
                <c:pt idx="318">
                  <c:v>4.04880000000001</c:v>
                </c:pt>
                <c:pt idx="319">
                  <c:v>4.04840000000001</c:v>
                </c:pt>
                <c:pt idx="320">
                  <c:v>4.04800000000001</c:v>
                </c:pt>
                <c:pt idx="321">
                  <c:v>4.04760000000001</c:v>
                </c:pt>
                <c:pt idx="322">
                  <c:v>4.04720000000001</c:v>
                </c:pt>
                <c:pt idx="323">
                  <c:v>4.04680000000001</c:v>
                </c:pt>
                <c:pt idx="324">
                  <c:v>4.04640000000001</c:v>
                </c:pt>
                <c:pt idx="325">
                  <c:v>4.04600000000001</c:v>
                </c:pt>
                <c:pt idx="326">
                  <c:v>4.04560000000001</c:v>
                </c:pt>
                <c:pt idx="327">
                  <c:v>4.04520000000002</c:v>
                </c:pt>
                <c:pt idx="328">
                  <c:v>4.04480000000002</c:v>
                </c:pt>
                <c:pt idx="329">
                  <c:v>4.04440000000002</c:v>
                </c:pt>
                <c:pt idx="330">
                  <c:v>4.04400000000002</c:v>
                </c:pt>
                <c:pt idx="331">
                  <c:v>4.04360000000002</c:v>
                </c:pt>
                <c:pt idx="332">
                  <c:v>4.04320000000002</c:v>
                </c:pt>
                <c:pt idx="333">
                  <c:v>4.04280000000002</c:v>
                </c:pt>
                <c:pt idx="334">
                  <c:v>4.04240000000002</c:v>
                </c:pt>
                <c:pt idx="335">
                  <c:v>4.04200000000002</c:v>
                </c:pt>
                <c:pt idx="336">
                  <c:v>4.04160000000002</c:v>
                </c:pt>
                <c:pt idx="337">
                  <c:v>4.04120000000002</c:v>
                </c:pt>
                <c:pt idx="338">
                  <c:v>4.04080000000002</c:v>
                </c:pt>
                <c:pt idx="339">
                  <c:v>4.04040000000002</c:v>
                </c:pt>
                <c:pt idx="340">
                  <c:v>4.04000000000002</c:v>
                </c:pt>
                <c:pt idx="341">
                  <c:v>4.03960000000002</c:v>
                </c:pt>
                <c:pt idx="342">
                  <c:v>4.03920000000002</c:v>
                </c:pt>
                <c:pt idx="343">
                  <c:v>4.03880000000002</c:v>
                </c:pt>
                <c:pt idx="344">
                  <c:v>4.03840000000002</c:v>
                </c:pt>
                <c:pt idx="345">
                  <c:v>4.03800000000002</c:v>
                </c:pt>
                <c:pt idx="346">
                  <c:v>4.03760000000002</c:v>
                </c:pt>
                <c:pt idx="347">
                  <c:v>4.03720000000002</c:v>
                </c:pt>
                <c:pt idx="348">
                  <c:v>4.03680000000002</c:v>
                </c:pt>
                <c:pt idx="349">
                  <c:v>4.03640000000002</c:v>
                </c:pt>
                <c:pt idx="350">
                  <c:v>4.03600000000002</c:v>
                </c:pt>
                <c:pt idx="351">
                  <c:v>4.03560000000002</c:v>
                </c:pt>
                <c:pt idx="352">
                  <c:v>4.03520000000002</c:v>
                </c:pt>
                <c:pt idx="353">
                  <c:v>4.03480000000002</c:v>
                </c:pt>
                <c:pt idx="354">
                  <c:v>4.03440000000002</c:v>
                </c:pt>
                <c:pt idx="355">
                  <c:v>4.03400000000002</c:v>
                </c:pt>
                <c:pt idx="356">
                  <c:v>4.03360000000002</c:v>
                </c:pt>
                <c:pt idx="357">
                  <c:v>4.03320000000002</c:v>
                </c:pt>
                <c:pt idx="358">
                  <c:v>4.03280000000002</c:v>
                </c:pt>
                <c:pt idx="359">
                  <c:v>4.03240000000002</c:v>
                </c:pt>
                <c:pt idx="360">
                  <c:v>4.03200000000002</c:v>
                </c:pt>
                <c:pt idx="361">
                  <c:v>4.03160000000002</c:v>
                </c:pt>
                <c:pt idx="362">
                  <c:v>4.03120000000002</c:v>
                </c:pt>
                <c:pt idx="363">
                  <c:v>4.03080000000002</c:v>
                </c:pt>
                <c:pt idx="364">
                  <c:v>4.03040000000002</c:v>
                </c:pt>
                <c:pt idx="365">
                  <c:v>4.03000000000002</c:v>
                </c:pt>
                <c:pt idx="366">
                  <c:v>4.02960000000002</c:v>
                </c:pt>
                <c:pt idx="367">
                  <c:v>4.02920000000002</c:v>
                </c:pt>
                <c:pt idx="368">
                  <c:v>4.02880000000002</c:v>
                </c:pt>
                <c:pt idx="369">
                  <c:v>4.02840000000002</c:v>
                </c:pt>
                <c:pt idx="370">
                  <c:v>4.02800000000002</c:v>
                </c:pt>
                <c:pt idx="371">
                  <c:v>4.02760000000002</c:v>
                </c:pt>
                <c:pt idx="372">
                  <c:v>4.02720000000002</c:v>
                </c:pt>
                <c:pt idx="373">
                  <c:v>4.02680000000002</c:v>
                </c:pt>
                <c:pt idx="374">
                  <c:v>4.02640000000002</c:v>
                </c:pt>
                <c:pt idx="375">
                  <c:v>4.02600000000002</c:v>
                </c:pt>
                <c:pt idx="376">
                  <c:v>4.02560000000002</c:v>
                </c:pt>
                <c:pt idx="377">
                  <c:v>4.02520000000002</c:v>
                </c:pt>
                <c:pt idx="378">
                  <c:v>4.02480000000002</c:v>
                </c:pt>
                <c:pt idx="379">
                  <c:v>4.02440000000002</c:v>
                </c:pt>
                <c:pt idx="380">
                  <c:v>4.02400000000002</c:v>
                </c:pt>
                <c:pt idx="381">
                  <c:v>4.02360000000002</c:v>
                </c:pt>
                <c:pt idx="382">
                  <c:v>4.02320000000002</c:v>
                </c:pt>
                <c:pt idx="383">
                  <c:v>4.02280000000002</c:v>
                </c:pt>
                <c:pt idx="384">
                  <c:v>4.02240000000002</c:v>
                </c:pt>
                <c:pt idx="385">
                  <c:v>4.02200000000002</c:v>
                </c:pt>
                <c:pt idx="386">
                  <c:v>4.02160000000002</c:v>
                </c:pt>
                <c:pt idx="387">
                  <c:v>4.02120000000002</c:v>
                </c:pt>
                <c:pt idx="388">
                  <c:v>4.02080000000002</c:v>
                </c:pt>
                <c:pt idx="389">
                  <c:v>4.02040000000002</c:v>
                </c:pt>
                <c:pt idx="390">
                  <c:v>4.02000000000002</c:v>
                </c:pt>
                <c:pt idx="391">
                  <c:v>4.01960000000002</c:v>
                </c:pt>
                <c:pt idx="392">
                  <c:v>4.01920000000002</c:v>
                </c:pt>
                <c:pt idx="393">
                  <c:v>4.01880000000002</c:v>
                </c:pt>
                <c:pt idx="394">
                  <c:v>4.01840000000002</c:v>
                </c:pt>
                <c:pt idx="395">
                  <c:v>4.01800000000002</c:v>
                </c:pt>
                <c:pt idx="396">
                  <c:v>4.01760000000002</c:v>
                </c:pt>
                <c:pt idx="397">
                  <c:v>4.01720000000002</c:v>
                </c:pt>
                <c:pt idx="398">
                  <c:v>4.01680000000002</c:v>
                </c:pt>
                <c:pt idx="399">
                  <c:v>4.01640000000002</c:v>
                </c:pt>
                <c:pt idx="400">
                  <c:v>4.01600000000002</c:v>
                </c:pt>
                <c:pt idx="401">
                  <c:v>4.01560000000002</c:v>
                </c:pt>
                <c:pt idx="402">
                  <c:v>4.01520000000002</c:v>
                </c:pt>
                <c:pt idx="403">
                  <c:v>4.01480000000002</c:v>
                </c:pt>
                <c:pt idx="404">
                  <c:v>4.01440000000002</c:v>
                </c:pt>
                <c:pt idx="405">
                  <c:v>4.01400000000002</c:v>
                </c:pt>
                <c:pt idx="406">
                  <c:v>4.01360000000002</c:v>
                </c:pt>
                <c:pt idx="407">
                  <c:v>4.01320000000002</c:v>
                </c:pt>
                <c:pt idx="408">
                  <c:v>4.01280000000002</c:v>
                </c:pt>
                <c:pt idx="409">
                  <c:v>4.01240000000002</c:v>
                </c:pt>
                <c:pt idx="410">
                  <c:v>4.01200000000002</c:v>
                </c:pt>
                <c:pt idx="411">
                  <c:v>4.01160000000002</c:v>
                </c:pt>
                <c:pt idx="412">
                  <c:v>4.01120000000002</c:v>
                </c:pt>
                <c:pt idx="413">
                  <c:v>4.01080000000002</c:v>
                </c:pt>
                <c:pt idx="414">
                  <c:v>4.01040000000002</c:v>
                </c:pt>
                <c:pt idx="415">
                  <c:v>4.01000000000002</c:v>
                </c:pt>
                <c:pt idx="416">
                  <c:v>4.00960000000002</c:v>
                </c:pt>
                <c:pt idx="417">
                  <c:v>4.00920000000002</c:v>
                </c:pt>
                <c:pt idx="418">
                  <c:v>4.00880000000002</c:v>
                </c:pt>
                <c:pt idx="419">
                  <c:v>4.00840000000002</c:v>
                </c:pt>
                <c:pt idx="420">
                  <c:v>4.00800000000002</c:v>
                </c:pt>
                <c:pt idx="421">
                  <c:v>4.00760000000002</c:v>
                </c:pt>
                <c:pt idx="422">
                  <c:v>4.00720000000002</c:v>
                </c:pt>
                <c:pt idx="423">
                  <c:v>4.00680000000002</c:v>
                </c:pt>
                <c:pt idx="424">
                  <c:v>4.00640000000002</c:v>
                </c:pt>
                <c:pt idx="425">
                  <c:v>4.00600000000002</c:v>
                </c:pt>
                <c:pt idx="426">
                  <c:v>4.00560000000002</c:v>
                </c:pt>
                <c:pt idx="427">
                  <c:v>4.00520000000002</c:v>
                </c:pt>
                <c:pt idx="428">
                  <c:v>4.00480000000002</c:v>
                </c:pt>
                <c:pt idx="429">
                  <c:v>4.00440000000002</c:v>
                </c:pt>
                <c:pt idx="430">
                  <c:v>4.00400000000002</c:v>
                </c:pt>
                <c:pt idx="431">
                  <c:v>4.00360000000002</c:v>
                </c:pt>
                <c:pt idx="432">
                  <c:v>4.00320000000002</c:v>
                </c:pt>
                <c:pt idx="433">
                  <c:v>4.00280000000002</c:v>
                </c:pt>
                <c:pt idx="434">
                  <c:v>4.00240000000002</c:v>
                </c:pt>
                <c:pt idx="435">
                  <c:v>4.00200000000002</c:v>
                </c:pt>
                <c:pt idx="436">
                  <c:v>4.00160000000002</c:v>
                </c:pt>
                <c:pt idx="437">
                  <c:v>4.00120000000002</c:v>
                </c:pt>
                <c:pt idx="438">
                  <c:v>4.00080000000002</c:v>
                </c:pt>
                <c:pt idx="439">
                  <c:v>4.00040000000002</c:v>
                </c:pt>
                <c:pt idx="440">
                  <c:v>4.00000000000002</c:v>
                </c:pt>
                <c:pt idx="441">
                  <c:v>3.99960000000002</c:v>
                </c:pt>
              </c:numCache>
            </c:numRef>
          </c:yVal>
          <c:smooth val="0"/>
        </c:ser>
        <c:axId val="77730236"/>
        <c:axId val="69770199"/>
      </c:scatterChart>
      <c:valAx>
        <c:axId val="92877832"/>
        <c:scaling>
          <c:orientation val="minMax"/>
          <c:max val="0.745486111111111"/>
          <c:min val="0.592361111111111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Time hh:mm:ss</a:t>
                </a:r>
              </a:p>
            </c:rich>
          </c:tx>
          <c:layout>
            <c:manualLayout>
              <c:xMode val="edge"/>
              <c:yMode val="edge"/>
              <c:x val="0.440408669195808"/>
              <c:y val="0.956064252532602"/>
            </c:manualLayout>
          </c:layout>
          <c:overlay val="0"/>
          <c:spPr>
            <a:noFill/>
            <a:ln w="0">
              <a:noFill/>
            </a:ln>
          </c:spPr>
        </c:title>
        <c:numFmt formatCode="hh:mm:ss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84742482"/>
        <c:crossesAt val="-40"/>
        <c:crossBetween val="midCat"/>
        <c:majorUnit val="0.00694444444444444"/>
      </c:valAx>
      <c:valAx>
        <c:axId val="84742482"/>
        <c:scaling>
          <c:orientation val="minMax"/>
          <c:max val="40"/>
          <c:min val="-4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Temperature (°C)</a:t>
                </a:r>
              </a:p>
            </c:rich>
          </c:tx>
          <c:layout>
            <c:manualLayout>
              <c:xMode val="edge"/>
              <c:yMode val="edge"/>
              <c:x val="0.0126957893550689"/>
              <c:y val="0.448032685957352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92877832"/>
        <c:crossesAt val="0"/>
        <c:crossBetween val="midCat"/>
      </c:valAx>
      <c:valAx>
        <c:axId val="77730236"/>
        <c:scaling>
          <c:orientation val="minMax"/>
        </c:scaling>
        <c:delete val="1"/>
        <c:axPos val="t"/>
        <c:numFmt formatCode="hh:mm:ss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69770199"/>
        <c:crossBetween val="midCat"/>
      </c:valAx>
      <c:valAx>
        <c:axId val="69770199"/>
        <c:scaling>
          <c:orientation val="minMax"/>
          <c:max val="4.5"/>
          <c:min val="3.5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Battery voltage (V)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77730236"/>
        <c:crosses val="max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318958672851114"/>
          <c:y val="0.181923597242801"/>
          <c:w val="0.26233755380051"/>
          <c:h val="0.114153192037622"/>
        </c:manualLayout>
      </c:layout>
      <c:overlay val="0"/>
      <c:spPr>
        <a:solidFill>
          <a:srgbClr val="FDE9A9"/>
        </a:solidFill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398520</xdr:colOff>
      <xdr:row>6</xdr:row>
      <xdr:rowOff>34560</xdr:rowOff>
    </xdr:from>
    <xdr:to>
      <xdr:col>17</xdr:col>
      <xdr:colOff>624600</xdr:colOff>
      <xdr:row>12</xdr:row>
      <xdr:rowOff>38520</xdr:rowOff>
    </xdr:to>
    <xdr:sp>
      <xdr:nvSpPr>
        <xdr:cNvPr id="1" name=""/>
        <xdr:cNvSpPr/>
      </xdr:nvSpPr>
      <xdr:spPr>
        <a:xfrm>
          <a:off x="11777760" y="1152720"/>
          <a:ext cx="2664360" cy="979560"/>
        </a:xfrm>
        <a:prstGeom prst="rect">
          <a:avLst/>
        </a:prstGeom>
        <a:solidFill>
          <a:srgbClr val="FDE9A9"/>
        </a:solidFill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  <xdr:txBody>
        <a:bodyPr lIns="0" tIns="0" rIns="0" bIns="0" anchor="ctr">
          <a:noAutofit/>
        </a:bodyPr>
        <a:p>
          <a:pPr marL="72000" indent="72000">
            <a:lnSpc>
              <a:spcPct val="100000"/>
            </a:lnSpc>
            <a:spcBef>
              <a:spcPts val="567"/>
            </a:spcBef>
            <a:spcAft>
              <a:spcPts val="567"/>
            </a:spcAft>
            <a:tabLst>
              <a:tab pos="0" algn="l"/>
            </a:tabLst>
          </a:pPr>
          <a:r>
            <a:rPr lang="fr-BE" sz="1200" b="0" u="none" strike="noStrike">
              <a:solidFill>
                <a:srgbClr val="000000"/>
              </a:solidFill>
              <a:effectLst/>
              <a:uFillTx/>
              <a:latin typeface="Calibri"/>
              <a:ea typeface="DejaVu Sans"/>
            </a:rPr>
            <a:t>(1) : thermodynamic formula with take-off temperature only</a:t>
          </a:r>
          <a:endParaRPr lang="fr-BE" sz="1200" b="0" u="none" strike="noStrike">
            <a:effectLst/>
            <a:uFillTx/>
            <a:latin typeface="Times New Roman"/>
          </a:endParaRPr>
        </a:p>
        <a:p>
          <a:pPr marL="72000" indent="72000">
            <a:lnSpc>
              <a:spcPct val="100000"/>
            </a:lnSpc>
            <a:spcBef>
              <a:spcPts val="567"/>
            </a:spcBef>
            <a:spcAft>
              <a:spcPts val="567"/>
            </a:spcAft>
            <a:tabLst>
              <a:tab pos="0" algn="l"/>
            </a:tabLst>
          </a:pPr>
          <a:r>
            <a:rPr lang="fr-BE" sz="1200" b="0" u="none" strike="noStrike">
              <a:solidFill>
                <a:srgbClr val="000000"/>
              </a:solidFill>
              <a:effectLst/>
              <a:uFillTx/>
              <a:latin typeface="Calibri"/>
              <a:ea typeface="DejaVu Sans"/>
            </a:rPr>
            <a:t>(2) : thermodynamic formula with  flight measured temperature </a:t>
          </a:r>
          <a:endParaRPr lang="fr-BE" sz="1200" b="0" u="none" strike="noStrike">
            <a:effectLst/>
            <a:uFillTx/>
            <a:latin typeface="Times New Roman"/>
          </a:endParaRPr>
        </a:p>
        <a:p>
          <a:pPr marL="72000" indent="72000">
            <a:lnSpc>
              <a:spcPct val="100000"/>
            </a:lnSpc>
            <a:spcBef>
              <a:spcPts val="567"/>
            </a:spcBef>
            <a:spcAft>
              <a:spcPts val="567"/>
            </a:spcAft>
            <a:tabLst>
              <a:tab pos="0" algn="l"/>
            </a:tabLst>
          </a:pPr>
          <a:r>
            <a:rPr lang="fr-BE" sz="1200" b="0" u="none" strike="noStrike">
              <a:solidFill>
                <a:srgbClr val="000000"/>
              </a:solidFill>
              <a:effectLst/>
              <a:uFillTx/>
              <a:latin typeface="Calibri"/>
              <a:ea typeface="DejaVu Sans"/>
            </a:rPr>
            <a:t>(3) : barometric heighting</a:t>
          </a:r>
          <a:endParaRPr lang="fr-BE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15</xdr:col>
      <xdr:colOff>76680</xdr:colOff>
      <xdr:row>15</xdr:row>
      <xdr:rowOff>105120</xdr:rowOff>
    </xdr:from>
    <xdr:to>
      <xdr:col>16</xdr:col>
      <xdr:colOff>352080</xdr:colOff>
      <xdr:row>18</xdr:row>
      <xdr:rowOff>75960</xdr:rowOff>
    </xdr:to>
    <xdr:sp>
      <xdr:nvSpPr>
        <xdr:cNvPr id="2" name=""/>
        <xdr:cNvSpPr/>
      </xdr:nvSpPr>
      <xdr:spPr>
        <a:xfrm>
          <a:off x="12268800" y="2686320"/>
          <a:ext cx="1087920" cy="458640"/>
        </a:xfrm>
        <a:prstGeom prst="rect">
          <a:avLst/>
        </a:prstGeom>
        <a:solidFill>
          <a:srgbClr val="C0C0C0"/>
        </a:solidFill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  <xdr:txBody>
        <a:bodyPr lIns="0" tIns="0" rIns="0" bIns="0" anchor="ctr">
          <a:noAutofit/>
        </a:bodyPr>
        <a:p>
          <a:pPr marL="72000" indent="72000">
            <a:lnSpc>
              <a:spcPct val="100000"/>
            </a:lnSpc>
            <a:spcBef>
              <a:spcPts val="567"/>
            </a:spcBef>
            <a:spcAft>
              <a:spcPts val="567"/>
            </a:spcAft>
            <a:tabLst>
              <a:tab pos="0" algn="l"/>
            </a:tabLst>
          </a:pPr>
          <a:r>
            <a:rPr lang="fr-BE" sz="1200" b="0" u="none" strike="noStrike">
              <a:solidFill>
                <a:srgbClr val="000000"/>
              </a:solidFill>
              <a:effectLst/>
              <a:uFillTx/>
              <a:latin typeface="Calibri"/>
              <a:ea typeface="DejaVu Sans"/>
            </a:rPr>
            <a:t>Missing values (interpolation)</a:t>
          </a:r>
          <a:endParaRPr lang="fr-BE" sz="12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145440</xdr:colOff>
      <xdr:row>1</xdr:row>
      <xdr:rowOff>100440</xdr:rowOff>
    </xdr:from>
    <xdr:to>
      <xdr:col>10</xdr:col>
      <xdr:colOff>631800</xdr:colOff>
      <xdr:row>35</xdr:row>
      <xdr:rowOff>161280</xdr:rowOff>
    </xdr:to>
    <xdr:graphicFrame>
      <xdr:nvGraphicFramePr>
        <xdr:cNvPr id="3" name=""/>
        <xdr:cNvGraphicFramePr/>
      </xdr:nvGraphicFramePr>
      <xdr:xfrm>
        <a:off x="145440" y="263160"/>
        <a:ext cx="8614440" cy="5587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22680</xdr:colOff>
      <xdr:row>0</xdr:row>
      <xdr:rowOff>108720</xdr:rowOff>
    </xdr:from>
    <xdr:to>
      <xdr:col>11</xdr:col>
      <xdr:colOff>599400</xdr:colOff>
      <xdr:row>39</xdr:row>
      <xdr:rowOff>75960</xdr:rowOff>
    </xdr:to>
    <xdr:graphicFrame>
      <xdr:nvGraphicFramePr>
        <xdr:cNvPr id="4" name=""/>
        <xdr:cNvGraphicFramePr/>
      </xdr:nvGraphicFramePr>
      <xdr:xfrm>
        <a:off x="22680" y="108720"/>
        <a:ext cx="9517680" cy="6307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0.580808653882522</cdr:x>
      <cdr:y>0.318760344729182</cdr:y>
    </cdr:from>
    <cdr:to>
      <cdr:x>0.884942698286622</cdr:x>
      <cdr:y>0.493807431082701</cdr:y>
    </cdr:to>
    <cdr:sp>
      <cdr:nvSpPr>
        <cdr:cNvPr id="5" name=""/>
        <cdr:cNvSpPr/>
      </cdr:nvSpPr>
      <cdr:spPr>
        <a:xfrm>
          <a:off x="5528160" y="2010600"/>
          <a:ext cx="2894760" cy="1104120"/>
        </a:xfrm>
        <a:prstGeom prst="rect">
          <a:avLst/>
        </a:prstGeom>
        <a:solidFill>
          <a:srgbClr val="FDE9A9"/>
        </a:solidFill>
        <a:ln w="0">
          <a:solidFill>
            <a:srgbClr val="000000"/>
          </a:solidFill>
        </a:ln>
      </cdr:spPr>
      <cdr:style>
        <a:lnRef idx="0"/>
        <a:fillRef idx="0"/>
        <a:effectRef idx="0"/>
        <a:fontRef idx="minor"/>
      </cdr:style>
      <cdr:txBody>
        <a:bodyPr lIns="0" tIns="0" rIns="0" bIns="0" anchor="ctr">
          <a:noAutofit/>
        </a:bodyPr>
        <a:p>
          <a:pPr marL="72000" indent="72000">
            <a:lnSpc>
              <a:spcPct val="100000"/>
            </a:lnSpc>
            <a:spcBef>
              <a:spcPts val="567"/>
            </a:spcBef>
            <a:spcAft>
              <a:spcPts val="567"/>
            </a:spcAft>
            <a:tabLst>
              <a:tab pos="0" algn="l"/>
            </a:tabLst>
          </a:pPr>
          <a:r>
            <a:rPr sz="1200" b="0" u="none" strike="noStrike">
              <a:solidFill>
                <a:srgbClr val="000000"/>
              </a:solidFill>
              <a:effectLst/>
              <a:uFillTx/>
              <a:latin typeface="Calibri"/>
              <a:ea typeface="DejaVu Sans"/>
            </a:rPr>
            <a:t>(1) : thermodynamic formula with take-off temperature only</a:t>
          </a:r>
          <a:endParaRPr sz="1200" b="0" u="none" strike="noStrike">
            <a:effectLst/>
            <a:uFillTx/>
            <a:latin typeface="Times New Roman"/>
          </a:endParaRPr>
        </a:p>
        <a:p>
          <a:pPr marL="72000" indent="72000">
            <a:lnSpc>
              <a:spcPct val="100000"/>
            </a:lnSpc>
            <a:spcBef>
              <a:spcPts val="567"/>
            </a:spcBef>
            <a:spcAft>
              <a:spcPts val="567"/>
            </a:spcAft>
            <a:tabLst>
              <a:tab pos="0" algn="l"/>
            </a:tabLst>
          </a:pPr>
          <a:r>
            <a:rPr sz="1200" b="0" u="none" strike="noStrike">
              <a:solidFill>
                <a:srgbClr val="000000"/>
              </a:solidFill>
              <a:effectLst/>
              <a:uFillTx/>
              <a:latin typeface="Calibri"/>
              <a:ea typeface="DejaVu Sans"/>
            </a:rPr>
            <a:t>(2) : thermodynamic formula with  flight measured temperature </a:t>
          </a:r>
          <a:endParaRPr sz="1200" b="0" u="none" strike="noStrike">
            <a:effectLst/>
            <a:uFillTx/>
            <a:latin typeface="Times New Roman"/>
          </a:endParaRPr>
        </a:p>
        <a:p>
          <a:pPr marL="72000" indent="72000">
            <a:lnSpc>
              <a:spcPct val="100000"/>
            </a:lnSpc>
            <a:spcBef>
              <a:spcPts val="567"/>
            </a:spcBef>
            <a:spcAft>
              <a:spcPts val="567"/>
            </a:spcAft>
            <a:tabLst>
              <a:tab pos="0" algn="l"/>
            </a:tabLst>
          </a:pPr>
          <a:r>
            <a:rPr sz="1200" b="0" u="none" strike="noStrike">
              <a:solidFill>
                <a:srgbClr val="000000"/>
              </a:solidFill>
              <a:effectLst/>
              <a:uFillTx/>
              <a:latin typeface="Calibri"/>
              <a:ea typeface="DejaVu Sans"/>
            </a:rPr>
            <a:t>(3) : barometric heighting</a:t>
          </a:r>
          <a:endParaRPr sz="1200" b="0" u="none" strike="noStrike">
            <a:effectLst/>
            <a:uFillTx/>
            <a:latin typeface="Times New Roman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36000</xdr:colOff>
      <xdr:row>0</xdr:row>
      <xdr:rowOff>36000</xdr:rowOff>
    </xdr:from>
    <xdr:to>
      <xdr:col>11</xdr:col>
      <xdr:colOff>788760</xdr:colOff>
      <xdr:row>40</xdr:row>
      <xdr:rowOff>3960</xdr:rowOff>
    </xdr:to>
    <xdr:graphicFrame>
      <xdr:nvGraphicFramePr>
        <xdr:cNvPr id="6" name=""/>
        <xdr:cNvGraphicFramePr/>
      </xdr:nvGraphicFramePr>
      <xdr:xfrm>
        <a:off x="36000" y="36000"/>
        <a:ext cx="9693720" cy="6470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0.55377302436126</cdr:x>
      <cdr:y>0.350506286858796</cdr:y>
    </cdr:from>
    <cdr:to>
      <cdr:x>0.553810160427808</cdr:x>
      <cdr:y>0.350561922777345</cdr:y>
    </cdr:to>
    <cdr:sp>
      <cdr:nvSpPr>
        <cdr:cNvPr id="7" name=""/>
        <cdr:cNvSpPr/>
      </cdr:nvSpPr>
      <cdr:spPr>
        <a:xfrm>
          <a:off x="5368320" y="2268000"/>
          <a:ext cx="360" cy="360"/>
        </a:xfrm>
        <a:prstGeom prst="rect">
          <a:avLst/>
        </a:prstGeom>
        <a:solidFill>
          <a:srgbClr val="FDE9A9"/>
        </a:solidFill>
        <a:ln w="0">
          <a:solidFill>
            <a:srgbClr val="000000"/>
          </a:solidFill>
        </a:ln>
      </cdr:spPr>
      <cdr:style>
        <a:lnRef idx="0"/>
        <a:fillRef idx="0"/>
        <a:effectRef idx="0"/>
        <a:fontRef idx="minor"/>
      </cdr:style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72000</xdr:colOff>
      <xdr:row>0</xdr:row>
      <xdr:rowOff>77400</xdr:rowOff>
    </xdr:from>
    <xdr:to>
      <xdr:col>10</xdr:col>
      <xdr:colOff>730440</xdr:colOff>
      <xdr:row>40</xdr:row>
      <xdr:rowOff>146160</xdr:rowOff>
    </xdr:to>
    <xdr:graphicFrame>
      <xdr:nvGraphicFramePr>
        <xdr:cNvPr id="8" name=""/>
        <xdr:cNvGraphicFramePr/>
      </xdr:nvGraphicFramePr>
      <xdr:xfrm>
        <a:off x="72000" y="77400"/>
        <a:ext cx="8786520" cy="657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0.553711897738446</cdr:x>
      <cdr:y>0.350443738358716</cdr:y>
    </cdr:from>
    <cdr:to>
      <cdr:x>0.55375286791216</cdr:x>
      <cdr:y>0.350498520872138</cdr:y>
    </cdr:to>
    <cdr:sp>
      <cdr:nvSpPr>
        <cdr:cNvPr id="9" name=""/>
        <cdr:cNvSpPr/>
      </cdr:nvSpPr>
      <cdr:spPr>
        <a:xfrm>
          <a:off x="4865400" y="2302920"/>
          <a:ext cx="360" cy="360"/>
        </a:xfrm>
        <a:prstGeom prst="rect">
          <a:avLst/>
        </a:prstGeom>
        <a:solidFill>
          <a:srgbClr val="FDE9A9"/>
        </a:solidFill>
        <a:ln w="0">
          <a:solidFill>
            <a:srgbClr val="000000"/>
          </a:solidFill>
        </a:ln>
      </cdr:spPr>
      <cdr:style>
        <a:lnRef idx="0"/>
        <a:fillRef idx="0"/>
        <a:effectRef idx="0"/>
        <a:fontRef idx="minor"/>
      </cdr:style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77400</xdr:colOff>
      <xdr:row>0</xdr:row>
      <xdr:rowOff>54360</xdr:rowOff>
    </xdr:from>
    <xdr:to>
      <xdr:col>11</xdr:col>
      <xdr:colOff>642600</xdr:colOff>
      <xdr:row>41</xdr:row>
      <xdr:rowOff>14400</xdr:rowOff>
    </xdr:to>
    <xdr:graphicFrame>
      <xdr:nvGraphicFramePr>
        <xdr:cNvPr id="10" name=""/>
        <xdr:cNvGraphicFramePr/>
      </xdr:nvGraphicFramePr>
      <xdr:xfrm>
        <a:off x="77400" y="54360"/>
        <a:ext cx="9506160" cy="6625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</xdr:colOff>
      <xdr:row>0</xdr:row>
      <xdr:rowOff>360</xdr:rowOff>
    </xdr:from>
    <xdr:to>
      <xdr:col>11</xdr:col>
      <xdr:colOff>643320</xdr:colOff>
      <xdr:row>39</xdr:row>
      <xdr:rowOff>92160</xdr:rowOff>
    </xdr:to>
    <xdr:graphicFrame>
      <xdr:nvGraphicFramePr>
        <xdr:cNvPr id="11" name=""/>
        <xdr:cNvGraphicFramePr/>
      </xdr:nvGraphicFramePr>
      <xdr:xfrm>
        <a:off x="360" y="360"/>
        <a:ext cx="9583920" cy="6431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8</xdr:col>
      <xdr:colOff>748440</xdr:colOff>
      <xdr:row>20</xdr:row>
      <xdr:rowOff>112680</xdr:rowOff>
    </xdr:from>
    <xdr:to>
      <xdr:col>10</xdr:col>
      <xdr:colOff>150120</xdr:colOff>
      <xdr:row>23</xdr:row>
      <xdr:rowOff>88560</xdr:rowOff>
    </xdr:to>
    <xdr:sp>
      <xdr:nvSpPr>
        <xdr:cNvPr id="12" name="Forme 1"/>
        <xdr:cNvSpPr/>
      </xdr:nvSpPr>
      <xdr:spPr>
        <a:xfrm>
          <a:off x="7250760" y="3363840"/>
          <a:ext cx="1027440" cy="463680"/>
        </a:xfrm>
        <a:prstGeom prst="rect">
          <a:avLst/>
        </a:prstGeom>
        <a:solidFill>
          <a:srgbClr val="FDE9A9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>
            <a:lnSpc>
              <a:spcPct val="100000"/>
            </a:lnSpc>
          </a:pPr>
          <a:r>
            <a:rPr lang="fr-BE" sz="1000" b="0" u="none" strike="noStrike">
              <a:solidFill>
                <a:srgbClr val="000000"/>
              </a:solidFill>
              <a:effectLst/>
              <a:uFillTx/>
              <a:latin typeface="Calibri"/>
              <a:ea typeface="DejaVu Sans"/>
            </a:rPr>
            <a:t>Energy consumed </a:t>
          </a:r>
          <a:br/>
          <a:r>
            <a:rPr lang="fr-BE" sz="1000" b="0" u="none" strike="noStrike">
              <a:solidFill>
                <a:srgbClr val="000000"/>
              </a:solidFill>
              <a:effectLst/>
              <a:uFillTx/>
              <a:latin typeface="Calibri"/>
              <a:ea typeface="DejaVu Sans"/>
            </a:rPr>
            <a:t>for the flight : </a:t>
          </a:r>
          <a:br/>
          <a:r>
            <a:rPr lang="fr-BE" sz="1000" b="0" u="none" strike="noStrike">
              <a:solidFill>
                <a:srgbClr val="000000"/>
              </a:solidFill>
              <a:effectLst/>
              <a:uFillTx/>
              <a:latin typeface="Calibri"/>
              <a:ea typeface="DejaVu Sans"/>
            </a:rPr>
            <a:t>0.35 Wh</a:t>
          </a:r>
          <a:endParaRPr lang="fr-BE" sz="10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44"/>
  <sheetViews>
    <sheetView showFormulas="false" showGridLines="true" showRowColHeaders="true" showZeros="true" rightToLeft="false" tabSelected="false" showOutlineSymbols="true" defaultGridColor="true" view="normal" topLeftCell="A412" colorId="64" zoomScale="100" zoomScaleNormal="100" zoomScalePageLayoutView="100" workbookViewId="0">
      <selection pane="topLeft" activeCell="O443" activeCellId="0" sqref="O443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" width="11.53"/>
    <col collapsed="false" customWidth="false" hidden="false" outlineLevel="0" max="4" min="2" style="2" width="11.53"/>
    <col collapsed="false" customWidth="false" hidden="false" outlineLevel="0" max="5" min="5" style="3" width="11.53"/>
    <col collapsed="false" customWidth="false" hidden="false" outlineLevel="0" max="6" min="6" style="2" width="11.53"/>
    <col collapsed="false" customWidth="false" hidden="false" outlineLevel="0" max="9" min="7" style="1" width="11.53"/>
    <col collapsed="false" customWidth="false" hidden="false" outlineLevel="0" max="11" min="11" style="4" width="11.53"/>
    <col collapsed="false" customWidth="false" hidden="false" outlineLevel="0" max="13" min="13" style="3" width="11.53"/>
    <col collapsed="false" customWidth="false" hidden="false" outlineLevel="0" max="14" min="14" style="1" width="11.53"/>
  </cols>
  <sheetData>
    <row r="1" customFormat="false" ht="24.05" hidden="false" customHeight="false" outlineLevel="0" collapsed="false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1" t="s">
        <v>6</v>
      </c>
      <c r="H1" s="1" t="s">
        <v>7</v>
      </c>
      <c r="I1" s="1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6" t="s">
        <v>13</v>
      </c>
    </row>
    <row r="2" customFormat="false" ht="12.8" hidden="false" customHeight="false" outlineLevel="0" collapsed="false">
      <c r="A2" s="8" t="n">
        <v>0.592361111111111</v>
      </c>
      <c r="B2" s="9" t="n">
        <v>31.48333333</v>
      </c>
      <c r="C2" s="2" t="n">
        <v>32.5</v>
      </c>
      <c r="D2" s="10" t="n">
        <v>1007.23</v>
      </c>
      <c r="E2" s="11" t="n">
        <v>4.176</v>
      </c>
      <c r="F2" s="9" t="n">
        <v>-24.1666666666667</v>
      </c>
      <c r="G2" s="1" t="n">
        <v>105</v>
      </c>
      <c r="H2" s="1" t="n">
        <v>0</v>
      </c>
      <c r="I2" s="12" t="n">
        <f aca="false">H2*3.6</f>
        <v>0</v>
      </c>
      <c r="J2" s="4" t="n">
        <f aca="false">LN(D2/1007.23)*(-8645.2)+105</f>
        <v>105</v>
      </c>
      <c r="K2" s="4" t="n">
        <f aca="false">45438.5*(1-(D2/1007.23)^0.1903)+105</f>
        <v>105</v>
      </c>
      <c r="L2" s="4" t="n">
        <f aca="false">105+29.271*(273.15+B2)*LN(1007.23/D2)</f>
        <v>105</v>
      </c>
      <c r="M2" s="3" t="n">
        <f aca="false">E2</f>
        <v>4.176</v>
      </c>
      <c r="N2" s="12" t="n">
        <f aca="false">E2*(-F2)</f>
        <v>100.92</v>
      </c>
    </row>
    <row r="3" customFormat="false" ht="12.8" hidden="false" customHeight="false" outlineLevel="0" collapsed="false">
      <c r="A3" s="8" t="n">
        <v>0.592708333333333</v>
      </c>
      <c r="B3" s="5" t="n">
        <v>30.6</v>
      </c>
      <c r="C3" s="5" t="n">
        <v>32.5</v>
      </c>
      <c r="D3" s="10" t="n">
        <v>1007.26</v>
      </c>
      <c r="E3" s="11" t="n">
        <v>4.176</v>
      </c>
      <c r="F3" s="9" t="n">
        <v>-23.6666666666667</v>
      </c>
      <c r="G3" s="1" t="n">
        <v>132</v>
      </c>
      <c r="H3" s="1" t="n">
        <v>3.47</v>
      </c>
      <c r="I3" s="12" t="n">
        <f aca="false">H3*3.6</f>
        <v>12.492</v>
      </c>
      <c r="J3" s="4" t="n">
        <f aca="false">LN(D3/1007.23)*(-8645.2)+105</f>
        <v>104.742509518519</v>
      </c>
      <c r="K3" s="4" t="n">
        <f aca="false">45438.5*(1-(D3/1007.23)^0.1903)+105</f>
        <v>104.742456769033</v>
      </c>
      <c r="L3" s="4" t="n">
        <f aca="false">105+29.271*(273.15+B3)*LN(1007.23/D3)</f>
        <v>104.735186585668</v>
      </c>
      <c r="M3" s="3" t="n">
        <f aca="false">M2-0.016/40</f>
        <v>4.1756</v>
      </c>
      <c r="N3" s="12" t="n">
        <f aca="false">E3*(-F3)</f>
        <v>98.8320000000001</v>
      </c>
    </row>
    <row r="4" customFormat="false" ht="12.8" hidden="false" customHeight="false" outlineLevel="0" collapsed="false">
      <c r="A4" s="13" t="n">
        <v>0.593055555555556</v>
      </c>
      <c r="B4" s="2" t="n">
        <v>31.6666666666667</v>
      </c>
      <c r="C4" s="2" t="n">
        <v>32.5</v>
      </c>
      <c r="D4" s="2" t="n">
        <v>1007.26084220716</v>
      </c>
      <c r="E4" s="3" t="n">
        <v>4.176</v>
      </c>
      <c r="F4" s="2" t="n">
        <v>-23.8333333333333</v>
      </c>
      <c r="G4" s="1" t="n">
        <v>253</v>
      </c>
      <c r="H4" s="1" t="n">
        <v>4.28</v>
      </c>
      <c r="I4" s="12" t="n">
        <f aca="false">H4*3.6</f>
        <v>15.408</v>
      </c>
      <c r="J4" s="4" t="n">
        <f aca="false">LN(D4/1007.23)*(-8645.2)+105</f>
        <v>104.73528095162</v>
      </c>
      <c r="K4" s="4" t="n">
        <f aca="false">45438.5*(1-(D4/1007.23)^0.1903)+105</f>
        <v>104.735226700222</v>
      </c>
      <c r="L4" s="4" t="n">
        <f aca="false">105+29.271*(273.15+B4)*LN(1007.23/D4)</f>
        <v>104.726796400222</v>
      </c>
      <c r="M4" s="3" t="n">
        <f aca="false">M3-0.016/40</f>
        <v>4.1752</v>
      </c>
      <c r="N4" s="12" t="n">
        <f aca="false">E4*(-F4)</f>
        <v>99.5279999999999</v>
      </c>
    </row>
    <row r="5" customFormat="false" ht="12.8" hidden="false" customHeight="false" outlineLevel="0" collapsed="false">
      <c r="A5" s="14" t="n">
        <v>0.593402777777778</v>
      </c>
      <c r="B5" s="2" t="n">
        <v>30.7</v>
      </c>
      <c r="C5" s="2" t="n">
        <v>32.5</v>
      </c>
      <c r="D5" s="2" t="n">
        <v>1007.24485317844</v>
      </c>
      <c r="E5" s="3" t="n">
        <v>4.176</v>
      </c>
      <c r="F5" s="2" t="n">
        <v>-23.8333333333333</v>
      </c>
      <c r="G5" s="1" t="n">
        <v>354</v>
      </c>
      <c r="H5" s="1" t="n">
        <v>2.94</v>
      </c>
      <c r="I5" s="12" t="n">
        <f aca="false">H5*3.6</f>
        <v>10.584</v>
      </c>
      <c r="J5" s="4" t="n">
        <f aca="false">LN(D5/1007.23)*(-8645.2)+105</f>
        <v>104.872513972513</v>
      </c>
      <c r="K5" s="4" t="n">
        <f aca="false">45438.5*(1-(D5/1007.23)^0.1903)+105</f>
        <v>104.872488038182</v>
      </c>
      <c r="L5" s="4" t="n">
        <f aca="false">105+29.271*(273.15+B5)*LN(1007.23/D5)</f>
        <v>104.868845153301</v>
      </c>
      <c r="M5" s="3" t="n">
        <f aca="false">M4-0.016/40</f>
        <v>4.1748</v>
      </c>
      <c r="N5" s="12" t="n">
        <f aca="false">E5*(-F5)</f>
        <v>99.5279999999999</v>
      </c>
    </row>
    <row r="6" customFormat="false" ht="12.8" hidden="false" customHeight="false" outlineLevel="0" collapsed="false">
      <c r="A6" s="13" t="n">
        <v>0.59375</v>
      </c>
      <c r="B6" s="2" t="n">
        <v>29.9333333333333</v>
      </c>
      <c r="C6" s="2" t="n">
        <v>32.5</v>
      </c>
      <c r="D6" s="2" t="n">
        <v>1001.32891255244</v>
      </c>
      <c r="E6" s="3" t="n">
        <v>4.176</v>
      </c>
      <c r="F6" s="2" t="n">
        <v>-24.5</v>
      </c>
      <c r="G6" s="1" t="n">
        <v>441</v>
      </c>
      <c r="H6" s="1" t="n">
        <v>3.22</v>
      </c>
      <c r="I6" s="12" t="n">
        <f aca="false">H6*3.6</f>
        <v>11.592</v>
      </c>
      <c r="J6" s="4" t="n">
        <f aca="false">LN(D6/1007.23)*(-8645.2)+105</f>
        <v>155.79883658705</v>
      </c>
      <c r="K6" s="4" t="n">
        <f aca="false">45438.5*(1-(D6/1007.23)^0.1903)+105</f>
        <v>155.780702589741</v>
      </c>
      <c r="L6" s="4" t="n">
        <f aca="false">105+29.271*(273.15+B6)*LN(1007.23/D6)</f>
        <v>157.128873018695</v>
      </c>
      <c r="M6" s="3" t="n">
        <f aca="false">M5-0.016/40</f>
        <v>4.1744</v>
      </c>
      <c r="N6" s="12" t="n">
        <f aca="false">E6*(-F6)</f>
        <v>102.312</v>
      </c>
    </row>
    <row r="7" customFormat="false" ht="12.8" hidden="false" customHeight="false" outlineLevel="0" collapsed="false">
      <c r="A7" s="14" t="n">
        <v>0.594097222222222</v>
      </c>
      <c r="B7" s="2" t="n">
        <v>27.9666666666667</v>
      </c>
      <c r="C7" s="2" t="n">
        <v>32.5</v>
      </c>
      <c r="D7" s="2" t="n">
        <v>986.858841561794</v>
      </c>
      <c r="E7" s="3" t="n">
        <v>4.17466666666667</v>
      </c>
      <c r="F7" s="2" t="n">
        <v>-25</v>
      </c>
      <c r="G7" s="1" t="n">
        <v>564</v>
      </c>
      <c r="H7" s="1" t="n">
        <v>4.66</v>
      </c>
      <c r="I7" s="12" t="n">
        <f aca="false">H7*3.6</f>
        <v>16.776</v>
      </c>
      <c r="J7" s="4" t="n">
        <f aca="false">LN(D7/1007.23)*(-8645.2)+105</f>
        <v>281.640942104662</v>
      </c>
      <c r="K7" s="4" t="n">
        <f aca="false">45438.5*(1-(D7/1007.23)^0.1903)+105</f>
        <v>281.333590622832</v>
      </c>
      <c r="L7" s="4" t="n">
        <f aca="false">105+29.271*(273.15+B7)*LN(1007.23/D7)</f>
        <v>285.089619893727</v>
      </c>
      <c r="M7" s="3" t="n">
        <f aca="false">M6-0.016/40</f>
        <v>4.174</v>
      </c>
      <c r="N7" s="12" t="n">
        <f aca="false">E7*(-F7)</f>
        <v>104.366666666667</v>
      </c>
    </row>
    <row r="8" customFormat="false" ht="12.8" hidden="false" customHeight="false" outlineLevel="0" collapsed="false">
      <c r="A8" s="13" t="n">
        <v>0.594444444444444</v>
      </c>
      <c r="B8" s="2" t="n">
        <v>26.6166666666667</v>
      </c>
      <c r="C8" s="2" t="n">
        <v>32.5</v>
      </c>
      <c r="D8" s="2" t="n">
        <v>975.730477573411</v>
      </c>
      <c r="E8" s="3" t="n">
        <v>4.17533333333333</v>
      </c>
      <c r="F8" s="2" t="n">
        <v>-24</v>
      </c>
      <c r="G8" s="1" t="n">
        <v>724</v>
      </c>
      <c r="H8" s="1" t="n">
        <v>5.21</v>
      </c>
      <c r="I8" s="12" t="n">
        <f aca="false">H8*3.6</f>
        <v>18.756</v>
      </c>
      <c r="J8" s="4" t="n">
        <f aca="false">LN(D8/1007.23)*(-8645.2)+105</f>
        <v>379.682812103647</v>
      </c>
      <c r="K8" s="4" t="n">
        <f aca="false">45438.5*(1-(D8/1007.23)^0.1903)+105</f>
        <v>378.909390797701</v>
      </c>
      <c r="L8" s="4" t="n">
        <f aca="false">105+29.271*(273.15+B8)*LN(1007.23/D8)</f>
        <v>383.7900941317</v>
      </c>
      <c r="M8" s="3" t="n">
        <f aca="false">M7-0.016/40</f>
        <v>4.1736</v>
      </c>
      <c r="N8" s="12" t="n">
        <f aca="false">E8*(-F8)</f>
        <v>100.208</v>
      </c>
    </row>
    <row r="9" customFormat="false" ht="12.8" hidden="false" customHeight="false" outlineLevel="0" collapsed="false">
      <c r="A9" s="14" t="n">
        <v>0.594791666666667</v>
      </c>
      <c r="B9" s="2" t="n">
        <v>25.65</v>
      </c>
      <c r="C9" s="2" t="n">
        <v>32.5</v>
      </c>
      <c r="D9" s="2" t="n">
        <v>965.577444336883</v>
      </c>
      <c r="E9" s="3" t="n">
        <v>4.17333333333333</v>
      </c>
      <c r="F9" s="2" t="n">
        <v>-23.8333333333333</v>
      </c>
      <c r="G9" s="1" t="n">
        <v>876</v>
      </c>
      <c r="H9" s="1" t="n">
        <v>4.51</v>
      </c>
      <c r="I9" s="12" t="n">
        <f aca="false">H9*3.6</f>
        <v>16.236</v>
      </c>
      <c r="J9" s="4" t="n">
        <f aca="false">LN(D9/1007.23)*(-8645.2)+105</f>
        <v>470.112364528645</v>
      </c>
      <c r="K9" s="4" t="n">
        <f aca="false">45438.5*(1-(D9/1007.23)^0.1903)+105</f>
        <v>468.722561981147</v>
      </c>
      <c r="L9" s="4" t="n">
        <f aca="false">105+29.271*(273.15+B9)*LN(1007.23/D9)</f>
        <v>474.376828969699</v>
      </c>
      <c r="M9" s="3" t="n">
        <f aca="false">M8-0.016/40</f>
        <v>4.1732</v>
      </c>
      <c r="N9" s="12" t="n">
        <f aca="false">E9*(-F9)</f>
        <v>99.4644444444442</v>
      </c>
    </row>
    <row r="10" customFormat="false" ht="12.8" hidden="false" customHeight="false" outlineLevel="0" collapsed="false">
      <c r="A10" s="13" t="n">
        <v>0.595138888888889</v>
      </c>
      <c r="B10" s="2" t="n">
        <v>24.5666666666667</v>
      </c>
      <c r="C10" s="2" t="n">
        <v>32.5</v>
      </c>
      <c r="D10" s="2" t="n">
        <v>950.243965795418</v>
      </c>
      <c r="E10" s="3" t="n">
        <v>4.17266666666667</v>
      </c>
      <c r="F10" s="2" t="n">
        <v>-24.1666666666667</v>
      </c>
      <c r="G10" s="1" t="n">
        <v>986</v>
      </c>
      <c r="H10" s="1" t="n">
        <v>3.62</v>
      </c>
      <c r="I10" s="12" t="n">
        <f aca="false">H10*3.6</f>
        <v>13.032</v>
      </c>
      <c r="J10" s="4" t="n">
        <f aca="false">LN(D10/1007.23)*(-8645.2)+105</f>
        <v>608.500857956766</v>
      </c>
      <c r="K10" s="4" t="n">
        <f aca="false">45438.5*(1-(D10/1007.23)^0.1903)+105</f>
        <v>605.822103298468</v>
      </c>
      <c r="L10" s="4" t="n">
        <f aca="false">105+29.271*(273.15+B10)*LN(1007.23/D10)</f>
        <v>612.534860680936</v>
      </c>
      <c r="M10" s="3" t="n">
        <f aca="false">M9-0.016/40</f>
        <v>4.1728</v>
      </c>
      <c r="N10" s="12" t="n">
        <f aca="false">E10*(-F10)</f>
        <v>100.839444444445</v>
      </c>
    </row>
    <row r="11" customFormat="false" ht="12.8" hidden="false" customHeight="false" outlineLevel="0" collapsed="false">
      <c r="A11" s="14" t="n">
        <v>0.595486111111111</v>
      </c>
      <c r="B11" s="2" t="n">
        <v>23.5333333333333</v>
      </c>
      <c r="C11" s="2" t="n">
        <v>32.5</v>
      </c>
      <c r="D11" s="2" t="n">
        <v>933.039770893837</v>
      </c>
      <c r="E11" s="3" t="n">
        <v>4.172</v>
      </c>
      <c r="F11" s="2" t="n">
        <v>-23.8333333333333</v>
      </c>
      <c r="G11" s="1" t="n">
        <v>1093</v>
      </c>
      <c r="H11" s="1" t="n">
        <v>3.42</v>
      </c>
      <c r="I11" s="12" t="n">
        <f aca="false">H11*3.6</f>
        <v>12.312</v>
      </c>
      <c r="J11" s="4" t="n">
        <f aca="false">LN(D11/1007.23)*(-8645.2)+105</f>
        <v>766.456709698069</v>
      </c>
      <c r="K11" s="4" t="n">
        <f aca="false">45438.5*(1-(D11/1007.23)^0.1903)+105</f>
        <v>761.797212043399</v>
      </c>
      <c r="L11" s="4" t="n">
        <f aca="false">105+29.271*(273.15+B11)*LN(1007.23/D11)</f>
        <v>769.442021626133</v>
      </c>
      <c r="M11" s="3" t="n">
        <f aca="false">M10-0.016/40</f>
        <v>4.1724</v>
      </c>
      <c r="N11" s="12" t="n">
        <f aca="false">E11*(-F11)</f>
        <v>99.4326666666665</v>
      </c>
    </row>
    <row r="12" customFormat="false" ht="12.8" hidden="false" customHeight="false" outlineLevel="0" collapsed="false">
      <c r="A12" s="13" t="n">
        <v>0.595833333333333</v>
      </c>
      <c r="B12" s="2" t="n">
        <v>22.7666666666667</v>
      </c>
      <c r="C12" s="2" t="n">
        <v>32.5</v>
      </c>
      <c r="D12" s="2" t="n">
        <v>916.778928686673</v>
      </c>
      <c r="E12" s="3" t="n">
        <v>4.172</v>
      </c>
      <c r="F12" s="2" t="n">
        <v>-24</v>
      </c>
      <c r="G12" s="1" t="n">
        <v>1208</v>
      </c>
      <c r="H12" s="1" t="n">
        <v>3.82</v>
      </c>
      <c r="I12" s="12" t="n">
        <f aca="false">H12*3.6</f>
        <v>13.752</v>
      </c>
      <c r="J12" s="4" t="n">
        <f aca="false">LN(D12/1007.23)*(-8645.2)+105</f>
        <v>918.451988171724</v>
      </c>
      <c r="K12" s="4" t="n">
        <f aca="false">45438.5*(1-(D12/1007.23)^0.1903)+105</f>
        <v>911.375351093861</v>
      </c>
      <c r="L12" s="4" t="n">
        <f aca="false">105+29.271*(273.15+B12)*LN(1007.23/D12)</f>
        <v>920.011742745931</v>
      </c>
      <c r="M12" s="3" t="n">
        <f aca="false">M11-0.016/40</f>
        <v>4.172</v>
      </c>
      <c r="N12" s="12" t="n">
        <f aca="false">E12*(-F12)</f>
        <v>100.128</v>
      </c>
    </row>
    <row r="13" customFormat="false" ht="12.8" hidden="false" customHeight="false" outlineLevel="0" collapsed="false">
      <c r="A13" s="14" t="n">
        <v>0.596180555555556</v>
      </c>
      <c r="B13" s="2" t="n">
        <v>22.1666666666667</v>
      </c>
      <c r="C13" s="2" t="n">
        <v>32.5</v>
      </c>
      <c r="D13" s="2" t="n">
        <v>905.026992578251</v>
      </c>
      <c r="E13" s="3" t="n">
        <v>4.172</v>
      </c>
      <c r="F13" s="2" t="n">
        <v>-24.1666666666667</v>
      </c>
      <c r="G13" s="1" t="n">
        <v>1327</v>
      </c>
      <c r="H13" s="1" t="n">
        <v>3.56</v>
      </c>
      <c r="I13" s="12" t="n">
        <f aca="false">H13*3.6</f>
        <v>12.816</v>
      </c>
      <c r="J13" s="4" t="n">
        <f aca="false">LN(D13/1007.23)*(-8645.2)+105</f>
        <v>1029.988838624</v>
      </c>
      <c r="K13" s="4" t="n">
        <f aca="false">45438.5*(1-(D13/1007.23)^0.1903)+105</f>
        <v>1020.82053532403</v>
      </c>
      <c r="L13" s="4" t="n">
        <f aca="false">105+29.271*(273.15+B13)*LN(1007.23/D13)</f>
        <v>1029.88335809763</v>
      </c>
      <c r="M13" s="3" t="n">
        <f aca="false">M12-0.016/40</f>
        <v>4.1716</v>
      </c>
      <c r="N13" s="12" t="n">
        <f aca="false">E13*(-F13)</f>
        <v>100.823333333333</v>
      </c>
    </row>
    <row r="14" customFormat="false" ht="12.8" hidden="false" customHeight="false" outlineLevel="0" collapsed="false">
      <c r="A14" s="13" t="n">
        <v>0.596527777777778</v>
      </c>
      <c r="B14" s="2" t="n">
        <v>21.7833333333333</v>
      </c>
      <c r="C14" s="2" t="n">
        <v>32.4</v>
      </c>
      <c r="D14" s="2" t="n">
        <v>893.370990642143</v>
      </c>
      <c r="E14" s="3" t="n">
        <v>4.172</v>
      </c>
      <c r="F14" s="2" t="n">
        <v>-24.3333333333333</v>
      </c>
      <c r="G14" s="1" t="n">
        <v>1427</v>
      </c>
      <c r="H14" s="1" t="n">
        <v>3.24</v>
      </c>
      <c r="I14" s="12" t="n">
        <f aca="false">H14*3.6</f>
        <v>11.664</v>
      </c>
      <c r="J14" s="4" t="n">
        <f aca="false">LN(D14/1007.23)*(-8645.2)+105</f>
        <v>1142.05511085828</v>
      </c>
      <c r="K14" s="4" t="n">
        <f aca="false">45438.5*(1-(D14/1007.23)^0.1903)+105</f>
        <v>1130.5149229352</v>
      </c>
      <c r="L14" s="4" t="n">
        <f aca="false">105+29.271*(273.15+B14)*LN(1007.23/D14)</f>
        <v>1140.59086370319</v>
      </c>
      <c r="M14" s="3" t="n">
        <f aca="false">M13-0.016/40</f>
        <v>4.1712</v>
      </c>
      <c r="N14" s="12" t="n">
        <f aca="false">E14*(-F14)</f>
        <v>101.518666666667</v>
      </c>
    </row>
    <row r="15" customFormat="false" ht="12.8" hidden="false" customHeight="false" outlineLevel="0" collapsed="false">
      <c r="A15" s="14" t="n">
        <v>0.596875</v>
      </c>
      <c r="B15" s="2" t="n">
        <v>21.7</v>
      </c>
      <c r="C15" s="2" t="n">
        <v>32.3833333333333</v>
      </c>
      <c r="D15" s="2" t="n">
        <v>881.619054533721</v>
      </c>
      <c r="E15" s="3" t="n">
        <v>4.172</v>
      </c>
      <c r="F15" s="2" t="n">
        <v>-24.5</v>
      </c>
      <c r="G15" s="1" t="n">
        <v>1531</v>
      </c>
      <c r="H15" s="1" t="n">
        <v>3.7</v>
      </c>
      <c r="I15" s="12" t="n">
        <f aca="false">H15*3.6</f>
        <v>13.32</v>
      </c>
      <c r="J15" s="4" t="n">
        <f aca="false">LN(D15/1007.23)*(-8645.2)+105</f>
        <v>1256.53386288726</v>
      </c>
      <c r="K15" s="4" t="n">
        <f aca="false">45438.5*(1-(D15/1007.23)^0.1903)+105</f>
        <v>1242.29168184714</v>
      </c>
      <c r="L15" s="4" t="n">
        <f aca="false">105+29.271*(273.15+B15)*LN(1007.23/D15)</f>
        <v>1254.58307378822</v>
      </c>
      <c r="M15" s="3" t="n">
        <f aca="false">M14-0.016/40</f>
        <v>4.1708</v>
      </c>
      <c r="N15" s="12" t="n">
        <f aca="false">E15*(-F15)</f>
        <v>102.214</v>
      </c>
    </row>
    <row r="16" customFormat="false" ht="12.8" hidden="false" customHeight="false" outlineLevel="0" collapsed="false">
      <c r="A16" s="13" t="n">
        <v>0.597222222222222</v>
      </c>
      <c r="B16" s="2" t="n">
        <v>21.3333333333333</v>
      </c>
      <c r="C16" s="2" t="n">
        <v>32.3</v>
      </c>
      <c r="D16" s="2" t="n">
        <v>869.771184252985</v>
      </c>
      <c r="E16" s="3" t="n">
        <v>4.172</v>
      </c>
      <c r="F16" s="2" t="n">
        <v>-24.1666666666667</v>
      </c>
      <c r="G16" s="1" t="n">
        <v>1627</v>
      </c>
      <c r="H16" s="1" t="n">
        <v>3.56</v>
      </c>
      <c r="I16" s="12" t="n">
        <f aca="false">H16*3.6</f>
        <v>12.816</v>
      </c>
      <c r="J16" s="4" t="n">
        <f aca="false">LN(D16/1007.23)*(-8645.2)+105</f>
        <v>1373.50239267025</v>
      </c>
      <c r="K16" s="4" t="n">
        <f aca="false">45438.5*(1-(D16/1007.23)^0.1903)+105</f>
        <v>1356.20889960499</v>
      </c>
      <c r="L16" s="4" t="n">
        <f aca="false">105+29.271*(273.15+B16)*LN(1007.23/D16)</f>
        <v>1369.77865028175</v>
      </c>
      <c r="M16" s="3" t="n">
        <f aca="false">M15-0.016/40</f>
        <v>4.1704</v>
      </c>
      <c r="N16" s="12" t="n">
        <f aca="false">E16*(-F16)</f>
        <v>100.823333333333</v>
      </c>
    </row>
    <row r="17" customFormat="false" ht="12.8" hidden="false" customHeight="false" outlineLevel="0" collapsed="false">
      <c r="A17" s="14" t="n">
        <v>0.597569444444445</v>
      </c>
      <c r="B17" s="2" t="n">
        <v>21.2666666666667</v>
      </c>
      <c r="C17" s="2" t="n">
        <v>32.2333333333333</v>
      </c>
      <c r="D17" s="2" t="n">
        <v>859.330348499516</v>
      </c>
      <c r="E17" s="3" t="n">
        <v>4.172</v>
      </c>
      <c r="F17" s="2" t="n">
        <v>-24.3333333333333</v>
      </c>
      <c r="G17" s="1" t="n">
        <v>1734</v>
      </c>
      <c r="H17" s="1" t="n">
        <v>3.39</v>
      </c>
      <c r="I17" s="12" t="n">
        <f aca="false">H17*3.6</f>
        <v>12.204</v>
      </c>
      <c r="J17" s="4" t="n">
        <f aca="false">LN(D17/1007.23)*(-8645.2)+105</f>
        <v>1477.90830360182</v>
      </c>
      <c r="K17" s="4" t="n">
        <f aca="false">45438.5*(1-(D17/1007.23)^0.1903)+105</f>
        <v>1457.64376448117</v>
      </c>
      <c r="L17" s="4" t="n">
        <f aca="false">105+29.271*(273.15+B17)*LN(1007.23/D17)</f>
        <v>1473.56817952021</v>
      </c>
      <c r="M17" s="3" t="n">
        <f aca="false">M16-0.016/40</f>
        <v>4.17</v>
      </c>
      <c r="N17" s="12" t="n">
        <f aca="false">E17*(-F17)</f>
        <v>101.518666666667</v>
      </c>
    </row>
    <row r="18" customFormat="false" ht="12.8" hidden="false" customHeight="false" outlineLevel="0" collapsed="false">
      <c r="A18" s="13" t="n">
        <v>0.597916666666667</v>
      </c>
      <c r="B18" s="2" t="n">
        <v>21.0333333333333</v>
      </c>
      <c r="C18" s="2" t="n">
        <v>32.15</v>
      </c>
      <c r="D18" s="2" t="n">
        <v>848.313907712165</v>
      </c>
      <c r="E18" s="3" t="n">
        <v>4.17133333333333</v>
      </c>
      <c r="F18" s="2" t="n">
        <v>-24</v>
      </c>
      <c r="G18" s="15" t="n">
        <v>1860</v>
      </c>
      <c r="H18" s="15" t="n">
        <v>4.1</v>
      </c>
      <c r="I18" s="12" t="n">
        <f aca="false">H18*3.6</f>
        <v>14.76</v>
      </c>
      <c r="J18" s="4" t="n">
        <f aca="false">LN(D18/1007.23)*(-8645.2)+105</f>
        <v>1589.45455197875</v>
      </c>
      <c r="K18" s="4" t="n">
        <f aca="false">45438.5*(1-(D18/1007.23)^0.1903)+105</f>
        <v>1565.75850789814</v>
      </c>
      <c r="L18" s="4" t="n">
        <f aca="false">105+29.271*(273.15+B18)*LN(1007.23/D18)</f>
        <v>1583.58904881671</v>
      </c>
      <c r="M18" s="3" t="n">
        <f aca="false">M17-0.016/40</f>
        <v>4.1696</v>
      </c>
      <c r="N18" s="12" t="n">
        <f aca="false">E18*(-F18)</f>
        <v>100.112</v>
      </c>
    </row>
    <row r="19" customFormat="false" ht="12.8" hidden="false" customHeight="false" outlineLevel="0" collapsed="false">
      <c r="A19" s="14" t="n">
        <v>0.598263888888889</v>
      </c>
      <c r="B19" s="2" t="n">
        <v>20.75</v>
      </c>
      <c r="C19" s="2" t="n">
        <v>32.05</v>
      </c>
      <c r="D19" s="2" t="n">
        <v>837.169554695063</v>
      </c>
      <c r="E19" s="3" t="n">
        <v>4.16933333333333</v>
      </c>
      <c r="F19" s="2" t="n">
        <v>-24.1666666666667</v>
      </c>
      <c r="G19" s="15" t="n">
        <v>1986</v>
      </c>
      <c r="H19" s="15" t="n">
        <v>4.1</v>
      </c>
      <c r="I19" s="12" t="n">
        <f aca="false">H19*3.6</f>
        <v>14.76</v>
      </c>
      <c r="J19" s="4" t="n">
        <f aca="false">LN(D19/1007.23)*(-8645.2)+105</f>
        <v>1703.77969001366</v>
      </c>
      <c r="K19" s="4" t="n">
        <f aca="false">45438.5*(1-(D19/1007.23)^0.1903)+105</f>
        <v>1676.29153216942</v>
      </c>
      <c r="L19" s="4" t="n">
        <f aca="false">105+29.271*(273.15+B19)*LN(1007.23/D19)</f>
        <v>1695.92872600379</v>
      </c>
      <c r="M19" s="3" t="n">
        <f aca="false">M18-0.016/40</f>
        <v>4.1692</v>
      </c>
      <c r="N19" s="12" t="n">
        <f aca="false">E19*(-F19)</f>
        <v>100.758888888889</v>
      </c>
    </row>
    <row r="20" customFormat="false" ht="12.8" hidden="false" customHeight="false" outlineLevel="0" collapsed="false">
      <c r="A20" s="13" t="n">
        <v>0.598611111111111</v>
      </c>
      <c r="B20" s="2" t="n">
        <v>20.4</v>
      </c>
      <c r="C20" s="2" t="n">
        <v>31.9666666666667</v>
      </c>
      <c r="D20" s="2" t="n">
        <v>826.025201677961</v>
      </c>
      <c r="E20" s="3" t="n">
        <v>4.16866666666667</v>
      </c>
      <c r="F20" s="2" t="n">
        <v>-23.8333333333333</v>
      </c>
      <c r="G20" s="1" t="n">
        <v>2113</v>
      </c>
      <c r="H20" s="1" t="n">
        <v>3.83</v>
      </c>
      <c r="I20" s="12" t="n">
        <f aca="false">H20*3.6</f>
        <v>13.788</v>
      </c>
      <c r="J20" s="4" t="n">
        <f aca="false">LN(D20/1007.23)*(-8645.2)+105</f>
        <v>1819.63696080315</v>
      </c>
      <c r="K20" s="4" t="n">
        <f aca="false">45438.5*(1-(D20/1007.23)^0.1903)+105</f>
        <v>1788.02245049114</v>
      </c>
      <c r="L20" s="4" t="n">
        <f aca="false">105+29.271*(273.15+B20)*LN(1007.23/D20)</f>
        <v>1809.18516641684</v>
      </c>
      <c r="M20" s="3" t="n">
        <f aca="false">M19-0.016/40</f>
        <v>4.1688</v>
      </c>
      <c r="N20" s="12" t="n">
        <f aca="false">E20*(-F20)</f>
        <v>99.3532222222222</v>
      </c>
    </row>
    <row r="21" customFormat="false" ht="12.8" hidden="false" customHeight="false" outlineLevel="0" collapsed="false">
      <c r="A21" s="14" t="n">
        <v>0.598958333333333</v>
      </c>
      <c r="B21" s="2" t="n">
        <v>20.0833333333333</v>
      </c>
      <c r="C21" s="2" t="n">
        <v>31.8666666666667</v>
      </c>
      <c r="D21" s="2" t="n">
        <v>815.744256211681</v>
      </c>
      <c r="E21" s="3" t="n">
        <v>4.168</v>
      </c>
      <c r="F21" s="2" t="n">
        <v>-24</v>
      </c>
      <c r="G21" s="1" t="n">
        <v>2185</v>
      </c>
      <c r="H21" s="1" t="n">
        <v>3.77</v>
      </c>
      <c r="I21" s="12" t="n">
        <f aca="false">H21*3.6</f>
        <v>13.572</v>
      </c>
      <c r="J21" s="4" t="n">
        <f aca="false">LN(D21/1007.23)*(-8645.2)+105</f>
        <v>1927.91281054309</v>
      </c>
      <c r="K21" s="4" t="n">
        <f aca="false">45438.5*(1-(D21/1007.23)^0.1903)+105</f>
        <v>1892.18469468774</v>
      </c>
      <c r="L21" s="4" t="n">
        <f aca="false">105+29.271*(273.15+B21)*LN(1007.23/D21)</f>
        <v>1914.84652862685</v>
      </c>
      <c r="M21" s="3" t="n">
        <f aca="false">M20-0.016/40</f>
        <v>4.1684</v>
      </c>
      <c r="N21" s="12" t="n">
        <f aca="false">E21*(-F21)</f>
        <v>100.032</v>
      </c>
    </row>
    <row r="22" customFormat="false" ht="12.8" hidden="false" customHeight="false" outlineLevel="0" collapsed="false">
      <c r="A22" s="13" t="n">
        <v>0.599305555555556</v>
      </c>
      <c r="B22" s="2" t="n">
        <v>19.8833333333333</v>
      </c>
      <c r="C22" s="2" t="n">
        <v>31.75</v>
      </c>
      <c r="D22" s="2" t="n">
        <v>805.19149725718</v>
      </c>
      <c r="E22" s="3" t="n">
        <v>4.168</v>
      </c>
      <c r="F22" s="2" t="n">
        <v>-23.6666666666667</v>
      </c>
      <c r="G22" s="1" t="n">
        <v>2282</v>
      </c>
      <c r="H22" s="1" t="n">
        <v>3.11</v>
      </c>
      <c r="I22" s="12" t="n">
        <f aca="false">H22*3.6</f>
        <v>11.196</v>
      </c>
      <c r="J22" s="4" t="n">
        <f aca="false">LN(D22/1007.23)*(-8645.2)+105</f>
        <v>2040.47988848434</v>
      </c>
      <c r="K22" s="4" t="n">
        <f aca="false">45438.5*(1-(D22/1007.23)^0.1903)+105</f>
        <v>2000.21224383751</v>
      </c>
      <c r="L22" s="4" t="n">
        <f aca="false">105+29.271*(273.15+B22)*LN(1007.23/D22)</f>
        <v>2025.29611457965</v>
      </c>
      <c r="M22" s="3" t="n">
        <f aca="false">M21-0.016/40</f>
        <v>4.168</v>
      </c>
      <c r="N22" s="12" t="n">
        <f aca="false">E22*(-F22)</f>
        <v>98.6426666666668</v>
      </c>
    </row>
    <row r="23" customFormat="false" ht="12.8" hidden="false" customHeight="false" outlineLevel="0" collapsed="false">
      <c r="A23" s="14" t="n">
        <v>0.599652777777778</v>
      </c>
      <c r="B23" s="2" t="n">
        <v>19.4333333333333</v>
      </c>
      <c r="C23" s="2" t="n">
        <v>31.6333333333333</v>
      </c>
      <c r="D23" s="2" t="n">
        <v>794.46285898677</v>
      </c>
      <c r="E23" s="3" t="n">
        <v>4.168</v>
      </c>
      <c r="F23" s="2" t="n">
        <v>-24.1666666666667</v>
      </c>
      <c r="G23" s="1" t="n">
        <v>2398</v>
      </c>
      <c r="H23" s="1" t="n">
        <v>4.23</v>
      </c>
      <c r="I23" s="12" t="n">
        <f aca="false">H23*3.6</f>
        <v>15.228</v>
      </c>
      <c r="J23" s="4" t="n">
        <f aca="false">LN(D23/1007.23)*(-8645.2)+105</f>
        <v>2156.44570817123</v>
      </c>
      <c r="K23" s="4" t="n">
        <f aca="false">45438.5*(1-(D23/1007.23)^0.1903)+105</f>
        <v>2111.22190498195</v>
      </c>
      <c r="L23" s="4" t="n">
        <f aca="false">105+29.271*(273.15+B23)*LN(1007.23/D23)</f>
        <v>2137.22657442033</v>
      </c>
      <c r="M23" s="3" t="n">
        <f aca="false">M22-0.016/40</f>
        <v>4.1676</v>
      </c>
      <c r="N23" s="12" t="n">
        <f aca="false">E23*(-F23)</f>
        <v>100.726666666667</v>
      </c>
    </row>
    <row r="24" customFormat="false" ht="12.8" hidden="false" customHeight="false" outlineLevel="0" collapsed="false">
      <c r="A24" s="13" t="n">
        <v>0.6</v>
      </c>
      <c r="B24" s="2" t="n">
        <v>18.8166666666667</v>
      </c>
      <c r="C24" s="2" t="n">
        <v>31.5166666666667</v>
      </c>
      <c r="D24" s="2" t="n">
        <v>784.373781865118</v>
      </c>
      <c r="E24" s="3" t="n">
        <v>4.168</v>
      </c>
      <c r="F24" s="2" t="n">
        <v>-23.8333333333333</v>
      </c>
      <c r="G24" s="1" t="n">
        <v>2507</v>
      </c>
      <c r="H24" s="1" t="n">
        <v>3.71</v>
      </c>
      <c r="I24" s="12" t="n">
        <f aca="false">H24*3.6</f>
        <v>13.356</v>
      </c>
      <c r="J24" s="4" t="n">
        <f aca="false">LN(D24/1007.23)*(-8645.2)+105</f>
        <v>2266.93627385891</v>
      </c>
      <c r="K24" s="4" t="n">
        <f aca="false">45438.5*(1-(D24/1007.23)^0.1903)+105</f>
        <v>2216.72702214224</v>
      </c>
      <c r="L24" s="4" t="n">
        <f aca="false">105+29.271*(273.15+B24)*LN(1007.23/D24)</f>
        <v>2242.16805938993</v>
      </c>
      <c r="M24" s="3" t="n">
        <f aca="false">M23-0.016/40</f>
        <v>4.1672</v>
      </c>
      <c r="N24" s="12" t="n">
        <f aca="false">E24*(-F24)</f>
        <v>99.3373333333332</v>
      </c>
    </row>
    <row r="25" customFormat="false" ht="12.8" hidden="false" customHeight="false" outlineLevel="0" collapsed="false">
      <c r="A25" s="14" t="n">
        <v>0.600347222222222</v>
      </c>
      <c r="B25" s="2" t="n">
        <v>18.3666666666667</v>
      </c>
      <c r="C25" s="2" t="n">
        <v>31.4</v>
      </c>
      <c r="D25" s="2" t="n">
        <v>775.43591481123</v>
      </c>
      <c r="E25" s="3" t="n">
        <v>4.168</v>
      </c>
      <c r="F25" s="2" t="n">
        <v>-24.1666666666667</v>
      </c>
      <c r="G25" s="1" t="n">
        <v>2631</v>
      </c>
      <c r="H25" s="1" t="n">
        <v>3.89</v>
      </c>
      <c r="I25" s="12" t="n">
        <f aca="false">H25*3.6</f>
        <v>14.004</v>
      </c>
      <c r="J25" s="4" t="n">
        <f aca="false">LN(D25/1007.23)*(-8645.2)+105</f>
        <v>2366.01309602202</v>
      </c>
      <c r="K25" s="4" t="n">
        <f aca="false">45438.5*(1-(D25/1007.23)^0.1903)+105</f>
        <v>2311.11543098157</v>
      </c>
      <c r="L25" s="4" t="n">
        <f aca="false">105+29.271*(273.15+B25)*LN(1007.23/D25)</f>
        <v>2336.66489653229</v>
      </c>
      <c r="M25" s="3" t="n">
        <f aca="false">M24-0.016/40</f>
        <v>4.1668</v>
      </c>
      <c r="N25" s="12" t="n">
        <f aca="false">E25*(-F25)</f>
        <v>100.726666666667</v>
      </c>
    </row>
    <row r="26" customFormat="false" ht="12.8" hidden="false" customHeight="false" outlineLevel="0" collapsed="false">
      <c r="A26" s="13" t="n">
        <v>0.600694444444444</v>
      </c>
      <c r="B26" s="2" t="n">
        <v>17.9666666666667</v>
      </c>
      <c r="C26" s="2" t="n">
        <v>31.2666666666667</v>
      </c>
      <c r="D26" s="2" t="n">
        <v>764.355517909003</v>
      </c>
      <c r="E26" s="3" t="n">
        <v>4.168</v>
      </c>
      <c r="F26" s="2" t="n">
        <v>-24</v>
      </c>
      <c r="G26" s="1" t="n">
        <v>2754</v>
      </c>
      <c r="H26" s="1" t="n">
        <v>4.55</v>
      </c>
      <c r="I26" s="12" t="n">
        <f aca="false">H26*3.6</f>
        <v>16.38</v>
      </c>
      <c r="J26" s="4" t="n">
        <f aca="false">LN(D26/1007.23)*(-8645.2)+105</f>
        <v>2490.43761064585</v>
      </c>
      <c r="K26" s="4" t="n">
        <f aca="false">45438.5*(1-(D26/1007.23)^0.1903)+105</f>
        <v>2429.36084040393</v>
      </c>
      <c r="L26" s="4" t="n">
        <f aca="false">105+29.271*(273.15+B26)*LN(1007.23/D26)</f>
        <v>2456.24371232846</v>
      </c>
      <c r="M26" s="3" t="n">
        <f aca="false">M25-0.016/40</f>
        <v>4.1664</v>
      </c>
      <c r="N26" s="12" t="n">
        <f aca="false">E26*(-F26)</f>
        <v>100.032</v>
      </c>
    </row>
    <row r="27" customFormat="false" ht="12.8" hidden="false" customHeight="false" outlineLevel="0" collapsed="false">
      <c r="A27" s="14" t="n">
        <v>0.601041666666667</v>
      </c>
      <c r="B27" s="2" t="n">
        <v>17.6666666666667</v>
      </c>
      <c r="C27" s="2" t="n">
        <v>31.1333333333333</v>
      </c>
      <c r="D27" s="2" t="n">
        <v>753.962649241691</v>
      </c>
      <c r="E27" s="3" t="n">
        <v>4.166</v>
      </c>
      <c r="F27" s="2" t="n">
        <v>-24</v>
      </c>
      <c r="G27" s="1" t="n">
        <v>2894</v>
      </c>
      <c r="H27" s="1" t="n">
        <v>4.35</v>
      </c>
      <c r="I27" s="12" t="n">
        <f aca="false">H27*3.6</f>
        <v>15.66</v>
      </c>
      <c r="J27" s="4" t="n">
        <f aca="false">LN(D27/1007.23)*(-8645.2)+105</f>
        <v>2608.79202862536</v>
      </c>
      <c r="K27" s="4" t="n">
        <f aca="false">45438.5*(1-(D27/1007.23)^0.1903)+105</f>
        <v>2541.53745733929</v>
      </c>
      <c r="L27" s="4" t="n">
        <f aca="false">105+29.271*(273.15+B27)*LN(1007.23/D27)</f>
        <v>2570.35837787281</v>
      </c>
      <c r="M27" s="3" t="n">
        <f aca="false">M26-0.016/40</f>
        <v>4.166</v>
      </c>
      <c r="N27" s="12" t="n">
        <f aca="false">E27*(-F27)</f>
        <v>99.984</v>
      </c>
    </row>
    <row r="28" customFormat="false" ht="12.8" hidden="false" customHeight="false" outlineLevel="0" collapsed="false">
      <c r="A28" s="13" t="n">
        <v>0.601388888888889</v>
      </c>
      <c r="B28" s="2" t="n">
        <v>17.4333333333333</v>
      </c>
      <c r="C28" s="2" t="n">
        <v>31</v>
      </c>
      <c r="D28" s="2" t="n">
        <v>743.905550177477</v>
      </c>
      <c r="E28" s="3" t="n">
        <v>4.16666666666667</v>
      </c>
      <c r="F28" s="2" t="n">
        <v>-23.6666666666667</v>
      </c>
      <c r="G28" s="1" t="n">
        <v>3008</v>
      </c>
      <c r="H28" s="1" t="n">
        <v>3.89</v>
      </c>
      <c r="I28" s="12" t="n">
        <f aca="false">H28*3.6</f>
        <v>14.004</v>
      </c>
      <c r="J28" s="4" t="n">
        <f aca="false">LN(D28/1007.23)*(-8645.2)+105</f>
        <v>2724.88627436101</v>
      </c>
      <c r="K28" s="4" t="n">
        <f aca="false">45438.5*(1-(D28/1007.23)^0.1903)+105</f>
        <v>2651.28831292681</v>
      </c>
      <c r="L28" s="4" t="n">
        <f aca="false">105+29.271*(273.15+B28)*LN(1007.23/D28)</f>
        <v>2682.600788049</v>
      </c>
      <c r="M28" s="3" t="n">
        <f aca="false">M27-0.016/40</f>
        <v>4.1656</v>
      </c>
      <c r="N28" s="12" t="n">
        <f aca="false">E28*(-F28)</f>
        <v>98.6111111111113</v>
      </c>
    </row>
    <row r="29" customFormat="false" ht="12.8" hidden="false" customHeight="false" outlineLevel="0" collapsed="false">
      <c r="A29" s="14" t="n">
        <v>0.601736111111111</v>
      </c>
      <c r="B29" s="2" t="n">
        <v>16.9666666666667</v>
      </c>
      <c r="C29" s="2" t="n">
        <v>30.8666666666667</v>
      </c>
      <c r="D29" s="2" t="n">
        <v>731.929767666989</v>
      </c>
      <c r="E29" s="3" t="n">
        <v>4.164</v>
      </c>
      <c r="F29" s="2" t="n">
        <v>-23.8333333333333</v>
      </c>
      <c r="G29" s="1" t="n">
        <v>3127</v>
      </c>
      <c r="H29" s="1" t="n">
        <v>3.67</v>
      </c>
      <c r="I29" s="12" t="n">
        <f aca="false">H29*3.6</f>
        <v>13.212</v>
      </c>
      <c r="J29" s="4" t="n">
        <f aca="false">LN(D29/1007.23)*(-8645.2)+105</f>
        <v>2865.19367346347</v>
      </c>
      <c r="K29" s="4" t="n">
        <f aca="false">45438.5*(1-(D29/1007.23)^0.1903)+105</f>
        <v>2783.5555485032</v>
      </c>
      <c r="L29" s="4" t="n">
        <f aca="false">105+29.271*(273.15+B29)*LN(1007.23/D29)</f>
        <v>2816.28236917717</v>
      </c>
      <c r="M29" s="3" t="n">
        <f aca="false">M28-0.016/40</f>
        <v>4.1652</v>
      </c>
      <c r="N29" s="12" t="n">
        <f aca="false">E29*(-F29)</f>
        <v>99.2419999999999</v>
      </c>
    </row>
    <row r="30" customFormat="false" ht="12.8" hidden="false" customHeight="false" outlineLevel="0" collapsed="false">
      <c r="A30" s="13" t="n">
        <v>0.602083333333333</v>
      </c>
      <c r="B30" s="2" t="n">
        <v>16.2833333333333</v>
      </c>
      <c r="C30" s="2" t="n">
        <v>30.7333333333333</v>
      </c>
      <c r="D30" s="2" t="n">
        <v>719.666182639561</v>
      </c>
      <c r="E30" s="3" t="n">
        <v>4.164</v>
      </c>
      <c r="F30" s="2" t="n">
        <v>-24</v>
      </c>
      <c r="G30" s="1" t="n">
        <v>3234</v>
      </c>
      <c r="H30" s="1" t="n">
        <v>3.82</v>
      </c>
      <c r="I30" s="12" t="n">
        <f aca="false">H30*3.6</f>
        <v>13.752</v>
      </c>
      <c r="J30" s="4" t="n">
        <f aca="false">LN(D30/1007.23)*(-8645.2)+105</f>
        <v>3011.27243287125</v>
      </c>
      <c r="K30" s="4" t="n">
        <f aca="false">45438.5*(1-(D30/1007.23)^0.1903)+105</f>
        <v>2920.83005598316</v>
      </c>
      <c r="L30" s="4" t="n">
        <f aca="false">105+29.271*(273.15+B30)*LN(1007.23/D30)</f>
        <v>2953.04851949403</v>
      </c>
      <c r="M30" s="3" t="n">
        <f aca="false">M29-0.016/40</f>
        <v>4.1648</v>
      </c>
      <c r="N30" s="12" t="n">
        <f aca="false">E30*(-F30)</f>
        <v>99.936</v>
      </c>
    </row>
    <row r="31" customFormat="false" ht="12.8" hidden="false" customHeight="false" outlineLevel="0" collapsed="false">
      <c r="A31" s="14" t="n">
        <v>0.602430555555556</v>
      </c>
      <c r="B31" s="2" t="n">
        <v>15.9833333333333</v>
      </c>
      <c r="C31" s="2" t="n">
        <v>30.5666666666667</v>
      </c>
      <c r="D31" s="2" t="n">
        <v>709.433204259439</v>
      </c>
      <c r="E31" s="3" t="n">
        <v>4.164</v>
      </c>
      <c r="F31" s="2" t="n">
        <v>-23.5</v>
      </c>
      <c r="G31" s="1" t="n">
        <v>3356</v>
      </c>
      <c r="H31" s="1" t="n">
        <v>4.04</v>
      </c>
      <c r="I31" s="12" t="n">
        <f aca="false">H31*3.6</f>
        <v>14.544</v>
      </c>
      <c r="J31" s="4" t="n">
        <f aca="false">LN(D31/1007.23)*(-8645.2)+105</f>
        <v>3135.08139604236</v>
      </c>
      <c r="K31" s="4" t="n">
        <f aca="false">45438.5*(1-(D31/1007.23)^0.1903)+105</f>
        <v>3036.83188107067</v>
      </c>
      <c r="L31" s="4" t="n">
        <f aca="false">105+29.271*(273.15+B31)*LN(1007.23/D31)</f>
        <v>3071.29932526259</v>
      </c>
      <c r="M31" s="3" t="n">
        <f aca="false">M30-0.016/40</f>
        <v>4.1644</v>
      </c>
      <c r="N31" s="12" t="n">
        <f aca="false">E31*(-F31)</f>
        <v>97.854</v>
      </c>
    </row>
    <row r="32" customFormat="false" ht="12.8" hidden="false" customHeight="false" outlineLevel="0" collapsed="false">
      <c r="A32" s="13" t="n">
        <v>0.602777777777778</v>
      </c>
      <c r="B32" s="2" t="n">
        <v>15.7</v>
      </c>
      <c r="C32" s="2" t="n">
        <v>30.4333333333333</v>
      </c>
      <c r="D32" s="2" t="n">
        <v>699.631929654727</v>
      </c>
      <c r="E32" s="3" t="n">
        <v>4.164</v>
      </c>
      <c r="F32" s="2" t="n">
        <v>-24.1666666666667</v>
      </c>
      <c r="G32" s="1" t="n">
        <v>3479</v>
      </c>
      <c r="H32" s="1" t="n">
        <v>3.67</v>
      </c>
      <c r="I32" s="12" t="n">
        <f aca="false">H32*3.6</f>
        <v>13.212</v>
      </c>
      <c r="J32" s="4" t="n">
        <f aca="false">LN(D32/1007.23)*(-8645.2)+105</f>
        <v>3255.35311919594</v>
      </c>
      <c r="K32" s="4" t="n">
        <f aca="false">45438.5*(1-(D32/1007.23)^0.1903)+105</f>
        <v>3149.21719988102</v>
      </c>
      <c r="L32" s="4" t="n">
        <f aca="false">105+29.271*(273.15+B32)*LN(1007.23/D32)</f>
        <v>3186.0172002962</v>
      </c>
      <c r="M32" s="3" t="n">
        <f aca="false">M31-0.016/40</f>
        <v>4.164</v>
      </c>
      <c r="N32" s="12" t="n">
        <f aca="false">E32*(-F32)</f>
        <v>100.63</v>
      </c>
    </row>
    <row r="33" customFormat="false" ht="12.8" hidden="false" customHeight="false" outlineLevel="0" collapsed="false">
      <c r="A33" s="14" t="n">
        <v>0.603125</v>
      </c>
      <c r="B33" s="2" t="n">
        <v>15.25</v>
      </c>
      <c r="C33" s="2" t="n">
        <v>30.25</v>
      </c>
      <c r="D33" s="2" t="n">
        <v>689.958567279768</v>
      </c>
      <c r="E33" s="3" t="n">
        <v>4.164</v>
      </c>
      <c r="F33" s="2" t="n">
        <v>-24</v>
      </c>
      <c r="G33" s="1" t="n">
        <v>3580</v>
      </c>
      <c r="H33" s="1" t="n">
        <v>3.39</v>
      </c>
      <c r="I33" s="12" t="n">
        <f aca="false">H33*3.6</f>
        <v>12.204</v>
      </c>
      <c r="J33" s="4" t="n">
        <f aca="false">LN(D33/1007.23)*(-8645.2)+105</f>
        <v>3375.71880030048</v>
      </c>
      <c r="K33" s="4" t="n">
        <f aca="false">45438.5*(1-(D33/1007.23)^0.1903)+105</f>
        <v>3261.39282692072</v>
      </c>
      <c r="L33" s="4" t="n">
        <f aca="false">105+29.271*(273.15+B33)*LN(1007.23/D33)</f>
        <v>3298.75044707316</v>
      </c>
      <c r="M33" s="3" t="n">
        <f aca="false">M32-0.016/40</f>
        <v>4.1636</v>
      </c>
      <c r="N33" s="12" t="n">
        <f aca="false">E33*(-F33)</f>
        <v>99.936</v>
      </c>
    </row>
    <row r="34" customFormat="false" ht="12.8" hidden="false" customHeight="false" outlineLevel="0" collapsed="false">
      <c r="A34" s="13" t="n">
        <v>0.603472222222222</v>
      </c>
      <c r="B34" s="2" t="n">
        <v>14.6833333333333</v>
      </c>
      <c r="C34" s="2" t="n">
        <v>30.0833333333333</v>
      </c>
      <c r="D34" s="2" t="n">
        <v>680.045369474024</v>
      </c>
      <c r="E34" s="3" t="n">
        <v>4.164</v>
      </c>
      <c r="F34" s="2" t="n">
        <v>-24.1666666666667</v>
      </c>
      <c r="G34" s="1" t="n">
        <v>3683</v>
      </c>
      <c r="H34" s="1" t="n">
        <v>3.42</v>
      </c>
      <c r="I34" s="12" t="n">
        <f aca="false">H34*3.6</f>
        <v>12.312</v>
      </c>
      <c r="J34" s="4" t="n">
        <f aca="false">LN(D34/1007.23)*(-8645.2)+105</f>
        <v>3500.83241660779</v>
      </c>
      <c r="K34" s="4" t="n">
        <f aca="false">45438.5*(1-(D34/1007.23)^0.1903)+105</f>
        <v>3377.67872494902</v>
      </c>
      <c r="L34" s="4" t="n">
        <f aca="false">105+29.271*(273.15+B34)*LN(1007.23/D34)</f>
        <v>3414.40449075964</v>
      </c>
      <c r="M34" s="3" t="n">
        <f aca="false">M33-0.016/40</f>
        <v>4.1632</v>
      </c>
      <c r="N34" s="12" t="n">
        <f aca="false">E34*(-F34)</f>
        <v>100.63</v>
      </c>
    </row>
    <row r="35" customFormat="false" ht="12.8" hidden="false" customHeight="false" outlineLevel="0" collapsed="false">
      <c r="A35" s="14" t="n">
        <v>0.603819444444445</v>
      </c>
      <c r="B35" s="2" t="n">
        <v>13.9333333333333</v>
      </c>
      <c r="C35" s="2" t="n">
        <v>29.9333333333333</v>
      </c>
      <c r="D35" s="2" t="n">
        <v>670.244094869313</v>
      </c>
      <c r="E35" s="3" t="n">
        <v>4.164</v>
      </c>
      <c r="F35" s="2" t="n">
        <v>-23.6666666666667</v>
      </c>
      <c r="G35" s="1" t="n">
        <v>3780</v>
      </c>
      <c r="H35" s="1" t="n">
        <v>3.35</v>
      </c>
      <c r="I35" s="12" t="n">
        <f aca="false">H35*3.6</f>
        <v>12.06</v>
      </c>
      <c r="J35" s="4" t="n">
        <f aca="false">LN(D35/1007.23)*(-8645.2)+105</f>
        <v>3626.3395314164</v>
      </c>
      <c r="K35" s="4" t="n">
        <f aca="false">45438.5*(1-(D35/1007.23)^0.1903)+105</f>
        <v>3494.00903371781</v>
      </c>
      <c r="L35" s="4" t="n">
        <f aca="false">105+29.271*(273.15+B35)*LN(1007.23/D35)</f>
        <v>3527.77536345784</v>
      </c>
      <c r="M35" s="3" t="n">
        <f aca="false">M34-0.016/40</f>
        <v>4.1628</v>
      </c>
      <c r="N35" s="12" t="n">
        <f aca="false">E35*(-F35)</f>
        <v>98.5480000000001</v>
      </c>
    </row>
    <row r="36" customFormat="false" ht="12.8" hidden="false" customHeight="false" outlineLevel="0" collapsed="false">
      <c r="A36" s="13" t="n">
        <v>0.604166666666667</v>
      </c>
      <c r="B36" s="2" t="n">
        <v>13.5666666666667</v>
      </c>
      <c r="C36" s="2" t="n">
        <v>29.75</v>
      </c>
      <c r="D36" s="2" t="n">
        <v>661.769909648274</v>
      </c>
      <c r="E36" s="3" t="n">
        <v>4.164</v>
      </c>
      <c r="F36" s="2" t="n">
        <v>-24.3333333333333</v>
      </c>
      <c r="G36" s="1" t="n">
        <v>3882</v>
      </c>
      <c r="H36" s="1" t="n">
        <v>3.25</v>
      </c>
      <c r="I36" s="12" t="n">
        <f aca="false">H36*3.6</f>
        <v>11.7</v>
      </c>
      <c r="J36" s="4" t="n">
        <f aca="false">LN(D36/1007.23)*(-8645.2)+105</f>
        <v>3736.34139962856</v>
      </c>
      <c r="K36" s="4" t="n">
        <f aca="false">45438.5*(1-(D36/1007.23)^0.1903)+105</f>
        <v>3595.70385944048</v>
      </c>
      <c r="L36" s="4" t="n">
        <f aca="false">105+29.271*(273.15+B36)*LN(1007.23/D36)</f>
        <v>3630.19004312413</v>
      </c>
      <c r="M36" s="3" t="n">
        <f aca="false">M35-0.016/40</f>
        <v>4.1624</v>
      </c>
      <c r="N36" s="12" t="n">
        <f aca="false">E36*(-F36)</f>
        <v>101.324</v>
      </c>
    </row>
    <row r="37" customFormat="false" ht="12.8" hidden="false" customHeight="false" outlineLevel="0" collapsed="false">
      <c r="A37" s="14" t="n">
        <v>0.604513888888889</v>
      </c>
      <c r="B37" s="2" t="n">
        <v>13.1833333333333</v>
      </c>
      <c r="C37" s="2" t="n">
        <v>29.55</v>
      </c>
      <c r="D37" s="2" t="n">
        <v>653.391658599548</v>
      </c>
      <c r="E37" s="3" t="n">
        <v>4.16266666666667</v>
      </c>
      <c r="F37" s="2" t="n">
        <v>-24.3333333333333</v>
      </c>
      <c r="G37" s="1" t="n">
        <v>3987</v>
      </c>
      <c r="H37" s="1" t="n">
        <v>3.45</v>
      </c>
      <c r="I37" s="12" t="n">
        <f aca="false">H37*3.6</f>
        <v>12.42</v>
      </c>
      <c r="J37" s="4" t="n">
        <f aca="false">LN(D37/1007.23)*(-8645.2)+105</f>
        <v>3846.49157064971</v>
      </c>
      <c r="K37" s="4" t="n">
        <f aca="false">45438.5*(1-(D37/1007.23)^0.1903)+105</f>
        <v>3697.28934680549</v>
      </c>
      <c r="L37" s="4" t="n">
        <f aca="false">105+29.271*(273.15+B37)*LN(1007.23/D37)</f>
        <v>3732.26424673788</v>
      </c>
      <c r="M37" s="3" t="n">
        <f aca="false">M36-0.016/40</f>
        <v>4.162</v>
      </c>
      <c r="N37" s="12" t="n">
        <f aca="false">E37*(-F37)</f>
        <v>101.291555555556</v>
      </c>
    </row>
    <row r="38" customFormat="false" ht="12.8" hidden="false" customHeight="false" outlineLevel="0" collapsed="false">
      <c r="A38" s="13" t="n">
        <v>0.604861111111111</v>
      </c>
      <c r="B38" s="2" t="n">
        <v>12.7166666666667</v>
      </c>
      <c r="C38" s="2" t="n">
        <v>29.3833333333333</v>
      </c>
      <c r="D38" s="2" t="n">
        <v>645.20527589545</v>
      </c>
      <c r="E38" s="3" t="n">
        <v>4.16266666666667</v>
      </c>
      <c r="F38" s="2" t="n">
        <v>-23</v>
      </c>
      <c r="G38" s="1" t="n">
        <v>4095</v>
      </c>
      <c r="H38" s="1" t="n">
        <v>3.42</v>
      </c>
      <c r="I38" s="12" t="n">
        <f aca="false">H38*3.6</f>
        <v>12.312</v>
      </c>
      <c r="J38" s="4" t="n">
        <f aca="false">LN(D38/1007.23)*(-8645.2)+105</f>
        <v>3955.49206405487</v>
      </c>
      <c r="K38" s="4" t="n">
        <f aca="false">45438.5*(1-(D38/1007.23)^0.1903)+105</f>
        <v>3797.57237459684</v>
      </c>
      <c r="L38" s="4" t="n">
        <f aca="false">105+29.271*(273.15+B38)*LN(1007.23/D38)</f>
        <v>3831.85301864157</v>
      </c>
      <c r="M38" s="3" t="n">
        <f aca="false">M37-0.016/40</f>
        <v>4.1616</v>
      </c>
      <c r="N38" s="12" t="n">
        <f aca="false">E38*(-F38)</f>
        <v>95.7413333333334</v>
      </c>
    </row>
    <row r="39" customFormat="false" ht="12.8" hidden="false" customHeight="false" outlineLevel="0" collapsed="false">
      <c r="A39" s="14" t="n">
        <v>0.605208333333333</v>
      </c>
      <c r="B39" s="2" t="n">
        <v>12.1333333333333</v>
      </c>
      <c r="C39" s="2" t="n">
        <v>29.1833333333333</v>
      </c>
      <c r="D39" s="2" t="n">
        <v>637.082849306228</v>
      </c>
      <c r="E39" s="3" t="n">
        <v>4.16066666666667</v>
      </c>
      <c r="F39" s="2" t="n">
        <v>-23.3333333333333</v>
      </c>
      <c r="G39" s="1" t="n">
        <v>4198</v>
      </c>
      <c r="H39" s="1" t="n">
        <v>3.61</v>
      </c>
      <c r="I39" s="12" t="n">
        <f aca="false">H39*3.6</f>
        <v>12.996</v>
      </c>
      <c r="J39" s="4" t="n">
        <f aca="false">LN(D39/1007.23)*(-8645.2)+105</f>
        <v>4065.01649955794</v>
      </c>
      <c r="K39" s="4" t="n">
        <f aca="false">45438.5*(1-(D39/1007.23)^0.1903)+105</f>
        <v>3898.09538197567</v>
      </c>
      <c r="L39" s="4" t="n">
        <f aca="false">105+29.271*(273.15+B39)*LN(1007.23/D39)</f>
        <v>3930.03937931198</v>
      </c>
      <c r="M39" s="3" t="n">
        <f aca="false">M38-0.016/40</f>
        <v>4.1612</v>
      </c>
      <c r="N39" s="12" t="n">
        <f aca="false">E39*(-F39)</f>
        <v>97.0822222222222</v>
      </c>
    </row>
    <row r="40" customFormat="false" ht="12.8" hidden="false" customHeight="false" outlineLevel="0" collapsed="false">
      <c r="A40" s="13" t="n">
        <v>0.605555555555556</v>
      </c>
      <c r="B40" s="2" t="n">
        <v>11.6</v>
      </c>
      <c r="C40" s="2" t="n">
        <v>28.9833333333333</v>
      </c>
      <c r="D40" s="2" t="n">
        <v>628.928444659568</v>
      </c>
      <c r="E40" s="3" t="n">
        <v>4.16</v>
      </c>
      <c r="F40" s="2" t="n">
        <v>-23.8333333333333</v>
      </c>
      <c r="G40" s="1" t="n">
        <v>4320</v>
      </c>
      <c r="H40" s="1" t="n">
        <v>4.45</v>
      </c>
      <c r="I40" s="12" t="n">
        <f aca="false">H40*3.6</f>
        <v>16.02</v>
      </c>
      <c r="J40" s="4" t="n">
        <f aca="false">LN(D40/1007.23)*(-8645.2)+105</f>
        <v>4176.38585984898</v>
      </c>
      <c r="K40" s="4" t="n">
        <f aca="false">45438.5*(1-(D40/1007.23)^0.1903)+105</f>
        <v>4000.06348261815</v>
      </c>
      <c r="L40" s="4" t="n">
        <f aca="false">105+29.271*(273.15+B40)*LN(1007.23/D40)</f>
        <v>4030.26074985672</v>
      </c>
      <c r="M40" s="3" t="n">
        <f aca="false">M39-0.016/40</f>
        <v>4.1608</v>
      </c>
      <c r="N40" s="12" t="n">
        <f aca="false">E40*(-F40)</f>
        <v>99.1466666666665</v>
      </c>
    </row>
    <row r="41" customFormat="false" ht="12.8" hidden="false" customHeight="false" outlineLevel="0" collapsed="false">
      <c r="A41" s="14" t="n">
        <v>0.605902777777778</v>
      </c>
      <c r="B41" s="2" t="n">
        <v>11.15</v>
      </c>
      <c r="C41" s="2" t="n">
        <v>28.7833333333333</v>
      </c>
      <c r="D41" s="2" t="n">
        <v>620.774040012907</v>
      </c>
      <c r="E41" s="3" t="n">
        <v>4.16</v>
      </c>
      <c r="F41" s="2" t="n">
        <v>-23.8333333333333</v>
      </c>
      <c r="G41" s="1" t="n">
        <v>4425</v>
      </c>
      <c r="H41" s="1" t="n">
        <v>3.21</v>
      </c>
      <c r="I41" s="12" t="n">
        <f aca="false">H41*3.6</f>
        <v>11.556</v>
      </c>
      <c r="J41" s="4" t="n">
        <f aca="false">LN(D41/1007.23)*(-8645.2)+105</f>
        <v>4289.20864837984</v>
      </c>
      <c r="K41" s="4" t="n">
        <f aca="false">45438.5*(1-(D41/1007.23)^0.1903)+105</f>
        <v>4103.10774693119</v>
      </c>
      <c r="L41" s="4" t="n">
        <f aca="false">105+29.271*(273.15+B41)*LN(1007.23/D41)</f>
        <v>4132.65912342969</v>
      </c>
      <c r="M41" s="3" t="n">
        <f aca="false">M40-0.016/40</f>
        <v>4.1604</v>
      </c>
      <c r="N41" s="12" t="n">
        <f aca="false">E41*(-F41)</f>
        <v>99.1466666666665</v>
      </c>
    </row>
    <row r="42" customFormat="false" ht="12.8" hidden="false" customHeight="false" outlineLevel="0" collapsed="false">
      <c r="A42" s="13" t="n">
        <v>0.60625</v>
      </c>
      <c r="B42" s="2" t="n">
        <v>10.45</v>
      </c>
      <c r="C42" s="2" t="n">
        <v>28.5833333333333</v>
      </c>
      <c r="D42" s="2" t="n">
        <v>612.42776702162</v>
      </c>
      <c r="E42" s="3" t="n">
        <v>4.16</v>
      </c>
      <c r="F42" s="2" t="n">
        <v>-24</v>
      </c>
      <c r="G42" s="1" t="n">
        <v>4524</v>
      </c>
      <c r="H42" s="1" t="n">
        <v>3.38</v>
      </c>
      <c r="I42" s="12" t="n">
        <f aca="false">H42*3.6</f>
        <v>12.168</v>
      </c>
      <c r="J42" s="4" t="n">
        <f aca="false">LN(D42/1007.23)*(-8645.2)+105</f>
        <v>4406.2313458535</v>
      </c>
      <c r="K42" s="4" t="n">
        <f aca="false">45438.5*(1-(D42/1007.23)^0.1903)+105</f>
        <v>4209.71787622592</v>
      </c>
      <c r="L42" s="4" t="n">
        <f aca="false">105+29.271*(273.15+B42)*LN(1007.23/D42)</f>
        <v>4235.1092856917</v>
      </c>
      <c r="M42" s="3" t="n">
        <f aca="false">M41-0.016/40</f>
        <v>4.16</v>
      </c>
      <c r="N42" s="12" t="n">
        <f aca="false">E42*(-F42)</f>
        <v>99.84</v>
      </c>
    </row>
    <row r="43" customFormat="false" ht="12.8" hidden="false" customHeight="false" outlineLevel="0" collapsed="false">
      <c r="A43" s="14" t="n">
        <v>0.606597222222222</v>
      </c>
      <c r="B43" s="2" t="n">
        <v>9.56666666666667</v>
      </c>
      <c r="C43" s="2" t="n">
        <v>28.35</v>
      </c>
      <c r="D43" s="2" t="n">
        <v>602.706437560503</v>
      </c>
      <c r="E43" s="3" t="n">
        <v>4.16</v>
      </c>
      <c r="F43" s="2" t="n">
        <v>-23.6666666666667</v>
      </c>
      <c r="G43" s="1" t="n">
        <v>4623</v>
      </c>
      <c r="H43" s="1" t="n">
        <v>3.2</v>
      </c>
      <c r="I43" s="12" t="n">
        <f aca="false">H43*3.6</f>
        <v>11.52</v>
      </c>
      <c r="J43" s="4" t="n">
        <f aca="false">LN(D43/1007.23)*(-8645.2)+105</f>
        <v>4544.56113727475</v>
      </c>
      <c r="K43" s="4" t="n">
        <f aca="false">45438.5*(1-(D43/1007.23)^0.1903)+105</f>
        <v>4335.38555054843</v>
      </c>
      <c r="L43" s="4" t="n">
        <f aca="false">105+29.271*(273.15+B43)*LN(1007.23/D43)</f>
        <v>4354.65787229919</v>
      </c>
      <c r="M43" s="3" t="n">
        <f aca="false">M42-0.016/40</f>
        <v>4.1596</v>
      </c>
      <c r="N43" s="12" t="n">
        <f aca="false">E43*(-F43)</f>
        <v>98.4533333333335</v>
      </c>
    </row>
    <row r="44" customFormat="false" ht="12.8" hidden="false" customHeight="false" outlineLevel="0" collapsed="false">
      <c r="A44" s="13" t="n">
        <v>0.606944444444444</v>
      </c>
      <c r="B44" s="2" t="n">
        <v>8.91666666666667</v>
      </c>
      <c r="C44" s="2" t="n">
        <v>28.1166666666667</v>
      </c>
      <c r="D44" s="2" t="n">
        <v>594.935769603098</v>
      </c>
      <c r="E44" s="3" t="n">
        <v>4.16</v>
      </c>
      <c r="F44" s="2" t="n">
        <v>-23.1666666666667</v>
      </c>
      <c r="G44" s="1" t="n">
        <v>4723</v>
      </c>
      <c r="H44" s="1" t="n">
        <v>3.21</v>
      </c>
      <c r="I44" s="12" t="n">
        <f aca="false">H44*3.6</f>
        <v>11.556</v>
      </c>
      <c r="J44" s="4" t="n">
        <f aca="false">LN(D44/1007.23)*(-8645.2)+105</f>
        <v>4656.7481008768</v>
      </c>
      <c r="K44" s="4" t="n">
        <f aca="false">45438.5*(1-(D44/1007.23)^0.1903)+105</f>
        <v>4437.02276388123</v>
      </c>
      <c r="L44" s="4" t="n">
        <f aca="false">105+29.271*(273.15+B44)*LN(1007.23/D44)</f>
        <v>4452.02863364408</v>
      </c>
      <c r="M44" s="3" t="n">
        <f aca="false">M43-0.016/40</f>
        <v>4.1592</v>
      </c>
      <c r="N44" s="12" t="n">
        <f aca="false">E44*(-F44)</f>
        <v>96.3733333333335</v>
      </c>
    </row>
    <row r="45" customFormat="false" ht="12.8" hidden="false" customHeight="false" outlineLevel="0" collapsed="false">
      <c r="A45" s="14" t="n">
        <v>0.607291666666667</v>
      </c>
      <c r="B45" s="2" t="n">
        <v>8.68333333333333</v>
      </c>
      <c r="C45" s="2" t="n">
        <v>27.9</v>
      </c>
      <c r="D45" s="2" t="n">
        <v>587.372959019038</v>
      </c>
      <c r="E45" s="3" t="n">
        <v>4.16</v>
      </c>
      <c r="F45" s="2" t="n">
        <v>-24.6666666666667</v>
      </c>
      <c r="G45" s="1" t="n">
        <v>4828</v>
      </c>
      <c r="H45" s="1" t="n">
        <v>3.32</v>
      </c>
      <c r="I45" s="12" t="n">
        <f aca="false">H45*3.6</f>
        <v>11.952</v>
      </c>
      <c r="J45" s="4" t="n">
        <f aca="false">LN(D45/1007.23)*(-8645.2)+105</f>
        <v>4767.35018009249</v>
      </c>
      <c r="K45" s="4" t="n">
        <f aca="false">45438.5*(1-(D45/1007.23)^0.1903)+105</f>
        <v>4536.97873344828</v>
      </c>
      <c r="L45" s="4" t="n">
        <f aca="false">105+29.271*(273.15+B45)*LN(1007.23/D45)</f>
        <v>4553.97291247234</v>
      </c>
      <c r="M45" s="3" t="n">
        <f aca="false">M44-0.016/40</f>
        <v>4.1588</v>
      </c>
      <c r="N45" s="12" t="n">
        <f aca="false">E45*(-F45)</f>
        <v>102.613333333333</v>
      </c>
    </row>
    <row r="46" customFormat="false" ht="12.8" hidden="false" customHeight="false" outlineLevel="0" collapsed="false">
      <c r="A46" s="13" t="n">
        <v>0.607638888888889</v>
      </c>
      <c r="B46" s="2" t="n">
        <v>8.03333333333333</v>
      </c>
      <c r="C46" s="2" t="n">
        <v>27.6666666666667</v>
      </c>
      <c r="D46" s="2" t="n">
        <v>580.049983865763</v>
      </c>
      <c r="E46" s="3" t="n">
        <v>4.15933333333333</v>
      </c>
      <c r="F46" s="2" t="n">
        <v>-23.6666666666667</v>
      </c>
      <c r="G46" s="1" t="n">
        <v>4926</v>
      </c>
      <c r="H46" s="1" t="n">
        <v>3.34</v>
      </c>
      <c r="I46" s="12" t="n">
        <f aca="false">H46*3.6</f>
        <v>12.024</v>
      </c>
      <c r="J46" s="4" t="n">
        <f aca="false">LN(D46/1007.23)*(-8645.2)+105</f>
        <v>4875.81029824988</v>
      </c>
      <c r="K46" s="4" t="n">
        <f aca="false">45438.5*(1-(D46/1007.23)^0.1903)+105</f>
        <v>4634.762873393</v>
      </c>
      <c r="L46" s="4" t="n">
        <f aca="false">105+29.271*(273.15+B46)*LN(1007.23/D46)</f>
        <v>4646.96975585346</v>
      </c>
      <c r="M46" s="3" t="n">
        <f aca="false">M45-0.016/40</f>
        <v>4.1584</v>
      </c>
      <c r="N46" s="12" t="n">
        <f aca="false">E46*(-F46)</f>
        <v>98.4375555555556</v>
      </c>
    </row>
    <row r="47" customFormat="false" ht="12.8" hidden="false" customHeight="false" outlineLevel="0" collapsed="false">
      <c r="A47" s="14" t="n">
        <v>0.607986111111111</v>
      </c>
      <c r="B47" s="2" t="n">
        <v>7.65</v>
      </c>
      <c r="C47" s="2" t="n">
        <v>27.4166666666667</v>
      </c>
      <c r="D47" s="2" t="n">
        <v>572.854920942239</v>
      </c>
      <c r="E47" s="3" t="n">
        <v>4.158</v>
      </c>
      <c r="F47" s="2" t="n">
        <v>-23.8333333333333</v>
      </c>
      <c r="G47" s="1" t="n">
        <v>5029</v>
      </c>
      <c r="H47" s="1" t="n">
        <v>3.47</v>
      </c>
      <c r="I47" s="12" t="n">
        <f aca="false">H47*3.6</f>
        <v>12.492</v>
      </c>
      <c r="J47" s="4" t="n">
        <f aca="false">LN(D47/1007.23)*(-8645.2)+105</f>
        <v>4983.71783736801</v>
      </c>
      <c r="K47" s="4" t="n">
        <f aca="false">45438.5*(1-(D47/1007.23)^0.1903)+105</f>
        <v>4731.81742788861</v>
      </c>
      <c r="L47" s="4" t="n">
        <f aca="false">105+29.271*(273.15+B47)*LN(1007.23/D47)</f>
        <v>4743.3692579445</v>
      </c>
      <c r="M47" s="3" t="n">
        <f aca="false">M46-0.016/40</f>
        <v>4.158</v>
      </c>
      <c r="N47" s="12" t="n">
        <f aca="false">E47*(-F47)</f>
        <v>99.0989999999999</v>
      </c>
    </row>
    <row r="48" customFormat="false" ht="12.8" hidden="false" customHeight="false" outlineLevel="0" collapsed="false">
      <c r="A48" s="13" t="n">
        <v>0.608333333333333</v>
      </c>
      <c r="B48" s="2" t="n">
        <v>7.58333333333333</v>
      </c>
      <c r="C48" s="2" t="n">
        <v>27.1833333333333</v>
      </c>
      <c r="D48" s="2" t="n">
        <v>565.579912875121</v>
      </c>
      <c r="E48" s="3" t="n">
        <v>4.15733333333333</v>
      </c>
      <c r="F48" s="2" t="n">
        <v>-24</v>
      </c>
      <c r="G48" s="1" t="n">
        <v>5125</v>
      </c>
      <c r="H48" s="1" t="n">
        <v>3.31</v>
      </c>
      <c r="I48" s="12" t="n">
        <f aca="false">H48*3.6</f>
        <v>11.916</v>
      </c>
      <c r="J48" s="4" t="n">
        <f aca="false">LN(D48/1007.23)*(-8645.2)+105</f>
        <v>5094.21121656004</v>
      </c>
      <c r="K48" s="4" t="n">
        <f aca="false">45438.5*(1-(D48/1007.23)^0.1903)+105</f>
        <v>4830.95915035255</v>
      </c>
      <c r="L48" s="4" t="n">
        <f aca="false">105+29.271*(273.15+B48)*LN(1007.23/D48)</f>
        <v>4847.29304585528</v>
      </c>
      <c r="M48" s="3" t="n">
        <f aca="false">M47-0.016/40</f>
        <v>4.1576</v>
      </c>
      <c r="N48" s="12" t="n">
        <f aca="false">E48*(-F48)</f>
        <v>99.7759999999999</v>
      </c>
    </row>
    <row r="49" customFormat="false" ht="12.8" hidden="false" customHeight="false" outlineLevel="0" collapsed="false">
      <c r="A49" s="14" t="n">
        <v>0.608680555555556</v>
      </c>
      <c r="B49" s="2" t="n">
        <v>7.25</v>
      </c>
      <c r="C49" s="2" t="n">
        <v>26.9333333333333</v>
      </c>
      <c r="D49" s="2" t="n">
        <v>558.320893836722</v>
      </c>
      <c r="E49" s="3" t="n">
        <v>4.156</v>
      </c>
      <c r="F49" s="2" t="n">
        <v>-23.3333333333333</v>
      </c>
      <c r="G49" s="1" t="n">
        <v>5221</v>
      </c>
      <c r="H49" s="1" t="n">
        <v>3.25</v>
      </c>
      <c r="I49" s="12" t="n">
        <f aca="false">H49*3.6</f>
        <v>11.7</v>
      </c>
      <c r="J49" s="4" t="n">
        <f aca="false">LN(D49/1007.23)*(-8645.2)+105</f>
        <v>5205.88752050222</v>
      </c>
      <c r="K49" s="4" t="n">
        <f aca="false">45438.5*(1-(D49/1007.23)^0.1903)+105</f>
        <v>4930.91754935399</v>
      </c>
      <c r="L49" s="4" t="n">
        <f aca="false">105+29.271*(273.15+B49)*LN(1007.23/D49)</f>
        <v>4947.6855645883</v>
      </c>
      <c r="M49" s="3" t="n">
        <f aca="false">M48-0.016/40</f>
        <v>4.1572</v>
      </c>
      <c r="N49" s="12" t="n">
        <f aca="false">E49*(-F49)</f>
        <v>96.9733333333332</v>
      </c>
    </row>
    <row r="50" customFormat="false" ht="12.8" hidden="false" customHeight="false" outlineLevel="0" collapsed="false">
      <c r="A50" s="13" t="n">
        <v>0.609027777777778</v>
      </c>
      <c r="B50" s="2" t="n">
        <v>6.66666666666667</v>
      </c>
      <c r="C50" s="2" t="n">
        <v>26.6833333333333</v>
      </c>
      <c r="D50" s="2" t="n">
        <v>550.949951597289</v>
      </c>
      <c r="E50" s="3" t="n">
        <v>4.156</v>
      </c>
      <c r="F50" s="2" t="n">
        <v>-23.8333333333333</v>
      </c>
      <c r="G50" s="1" t="n">
        <v>5325</v>
      </c>
      <c r="H50" s="1" t="n">
        <v>3.28</v>
      </c>
      <c r="I50" s="12" t="n">
        <f aca="false">H50*3.6</f>
        <v>11.808</v>
      </c>
      <c r="J50" s="4" t="n">
        <f aca="false">LN(D50/1007.23)*(-8645.2)+105</f>
        <v>5320.78138617305</v>
      </c>
      <c r="K50" s="4" t="n">
        <f aca="false">45438.5*(1-(D50/1007.23)^0.1903)+105</f>
        <v>5033.49977723052</v>
      </c>
      <c r="L50" s="4" t="n">
        <f aca="false">105+29.271*(273.15+B50)*LN(1007.23/D50)</f>
        <v>5046.46215690398</v>
      </c>
      <c r="M50" s="3" t="n">
        <f aca="false">M49-0.016/40</f>
        <v>4.1568</v>
      </c>
      <c r="N50" s="12" t="n">
        <f aca="false">E50*(-F50)</f>
        <v>99.0513333333332</v>
      </c>
    </row>
    <row r="51" customFormat="false" ht="12.8" hidden="false" customHeight="false" outlineLevel="0" collapsed="false">
      <c r="A51" s="14" t="n">
        <v>0.609375</v>
      </c>
      <c r="B51" s="2" t="n">
        <v>6.11666666666667</v>
      </c>
      <c r="C51" s="2" t="n">
        <v>26.4333333333333</v>
      </c>
      <c r="D51" s="2" t="n">
        <v>544.010713133269</v>
      </c>
      <c r="E51" s="3" t="n">
        <v>4.156</v>
      </c>
      <c r="F51" s="2" t="n">
        <v>-23.6666666666667</v>
      </c>
      <c r="G51" s="1" t="n">
        <v>5431</v>
      </c>
      <c r="H51" s="1" t="n">
        <v>3.55</v>
      </c>
      <c r="I51" s="12" t="n">
        <f aca="false">H51*3.6</f>
        <v>12.78</v>
      </c>
      <c r="J51" s="4" t="n">
        <f aca="false">LN(D51/1007.23)*(-8645.2)+105</f>
        <v>5430.3595828382</v>
      </c>
      <c r="K51" s="4" t="n">
        <f aca="false">45438.5*(1-(D51/1007.23)^0.1903)+105</f>
        <v>5131.09453070654</v>
      </c>
      <c r="L51" s="4" t="n">
        <f aca="false">105+29.271*(273.15+B51)*LN(1007.23/D51)</f>
        <v>5140.36032991747</v>
      </c>
      <c r="M51" s="3" t="n">
        <f aca="false">M50-0.016/40</f>
        <v>4.1564</v>
      </c>
      <c r="N51" s="12" t="n">
        <f aca="false">E51*(-F51)</f>
        <v>98.3586666666668</v>
      </c>
    </row>
    <row r="52" customFormat="false" ht="12.8" hidden="false" customHeight="false" outlineLevel="0" collapsed="false">
      <c r="A52" s="13" t="n">
        <v>0.609722222222222</v>
      </c>
      <c r="B52" s="2" t="n">
        <v>5.48333333333333</v>
      </c>
      <c r="C52" s="2" t="n">
        <v>26.1666666666667</v>
      </c>
      <c r="D52" s="2" t="n">
        <v>537.055485640529</v>
      </c>
      <c r="E52" s="3" t="n">
        <v>4.156</v>
      </c>
      <c r="F52" s="2" t="n">
        <v>-24.1666666666667</v>
      </c>
      <c r="G52" s="1" t="n">
        <v>5536</v>
      </c>
      <c r="H52" s="1" t="n">
        <v>3.62</v>
      </c>
      <c r="I52" s="12" t="n">
        <f aca="false">H52*3.6</f>
        <v>13.032</v>
      </c>
      <c r="J52" s="4" t="n">
        <f aca="false">LN(D52/1007.23)*(-8645.2)+105</f>
        <v>5541.60191459683</v>
      </c>
      <c r="K52" s="4" t="n">
        <f aca="false">45438.5*(1-(D52/1007.23)^0.1903)+105</f>
        <v>5229.93092903426</v>
      </c>
      <c r="L52" s="4" t="n">
        <f aca="false">105+29.271*(273.15+B52)*LN(1007.23/D52)</f>
        <v>5233.8868629754</v>
      </c>
      <c r="M52" s="3" t="n">
        <f aca="false">M51-0.016/40</f>
        <v>4.156</v>
      </c>
      <c r="N52" s="12" t="n">
        <f aca="false">E52*(-F52)</f>
        <v>100.436666666667</v>
      </c>
    </row>
    <row r="53" customFormat="false" ht="12.8" hidden="false" customHeight="false" outlineLevel="0" collapsed="false">
      <c r="A53" s="14" t="n">
        <v>0.610069444444444</v>
      </c>
      <c r="B53" s="2" t="n">
        <v>4.71666666666667</v>
      </c>
      <c r="C53" s="2" t="n">
        <v>25.9</v>
      </c>
      <c r="D53" s="2" t="n">
        <v>530.116247176509</v>
      </c>
      <c r="E53" s="3" t="n">
        <v>4.156</v>
      </c>
      <c r="F53" s="2" t="n">
        <v>-23.1666666666667</v>
      </c>
      <c r="G53" s="1" t="n">
        <v>5640</v>
      </c>
      <c r="H53" s="1" t="n">
        <v>3.41</v>
      </c>
      <c r="I53" s="12" t="n">
        <f aca="false">H53*3.6</f>
        <v>12.276</v>
      </c>
      <c r="J53" s="4" t="n">
        <f aca="false">LN(D53/1007.23)*(-8645.2)+105</f>
        <v>5654.03358432601</v>
      </c>
      <c r="K53" s="4" t="n">
        <f aca="false">45438.5*(1-(D53/1007.23)^0.1903)+105</f>
        <v>5329.57841648371</v>
      </c>
      <c r="L53" s="4" t="n">
        <f aca="false">105+29.271*(273.15+B53)*LN(1007.23/D53)</f>
        <v>5325.55071955991</v>
      </c>
      <c r="M53" s="3" t="n">
        <f aca="false">M52-0.016/40</f>
        <v>4.1556</v>
      </c>
      <c r="N53" s="12" t="n">
        <f aca="false">E53*(-F53)</f>
        <v>96.2806666666668</v>
      </c>
    </row>
    <row r="54" customFormat="false" ht="12.8" hidden="false" customHeight="false" outlineLevel="0" collapsed="false">
      <c r="A54" s="13" t="n">
        <v>0.610416666666667</v>
      </c>
      <c r="B54" s="2" t="n">
        <v>4.03333333333333</v>
      </c>
      <c r="C54" s="2" t="n">
        <v>25.6166666666667</v>
      </c>
      <c r="D54" s="2" t="n">
        <v>523.017118425298</v>
      </c>
      <c r="E54" s="3" t="n">
        <v>4.156</v>
      </c>
      <c r="F54" s="2" t="n">
        <v>-23.5</v>
      </c>
      <c r="G54" s="1" t="n">
        <v>5743</v>
      </c>
      <c r="H54" s="1" t="n">
        <v>3.39</v>
      </c>
      <c r="I54" s="12" t="n">
        <f aca="false">H54*3.6</f>
        <v>12.204</v>
      </c>
      <c r="J54" s="4" t="n">
        <f aca="false">LN(D54/1007.23)*(-8645.2)+105</f>
        <v>5770.58922584873</v>
      </c>
      <c r="K54" s="4" t="n">
        <f aca="false">45438.5*(1-(D54/1007.23)^0.1903)+105</f>
        <v>5432.62093502247</v>
      </c>
      <c r="L54" s="4" t="n">
        <f aca="false">105+29.271*(273.15+B54)*LN(1007.23/D54)</f>
        <v>5422.09857173943</v>
      </c>
      <c r="M54" s="3" t="n">
        <f aca="false">M53-0.016/40</f>
        <v>4.1552</v>
      </c>
      <c r="N54" s="12" t="n">
        <f aca="false">E54*(-F54)</f>
        <v>97.666</v>
      </c>
    </row>
    <row r="55" customFormat="false" ht="12.8" hidden="false" customHeight="false" outlineLevel="0" collapsed="false">
      <c r="A55" s="13" t="n">
        <v>0.610763888888889</v>
      </c>
      <c r="B55" s="2" t="n">
        <v>3.23333333333333</v>
      </c>
      <c r="C55" s="2" t="n">
        <v>25.3666666666667</v>
      </c>
      <c r="D55" s="2" t="n">
        <v>515.74211035818</v>
      </c>
      <c r="E55" s="3" t="n">
        <v>4.15533333333333</v>
      </c>
      <c r="F55" s="2" t="n">
        <v>-23.1666666666667</v>
      </c>
      <c r="G55" s="1" t="n">
        <v>5845</v>
      </c>
      <c r="H55" s="1" t="n">
        <v>3.4</v>
      </c>
      <c r="I55" s="12" t="n">
        <f aca="false">H55*3.6</f>
        <v>12.24</v>
      </c>
      <c r="J55" s="4" t="n">
        <f aca="false">LN(D55/1007.23)*(-8645.2)+105</f>
        <v>5891.68548442381</v>
      </c>
      <c r="K55" s="4" t="n">
        <f aca="false">45438.5*(1-(D55/1007.23)^0.1903)+105</f>
        <v>5539.39799294206</v>
      </c>
      <c r="L55" s="4" t="n">
        <f aca="false">105+29.271*(273.15+B55)*LN(1007.23/D55)</f>
        <v>5520.07210228027</v>
      </c>
      <c r="M55" s="3" t="n">
        <f aca="false">M54-0.016/40</f>
        <v>4.1548</v>
      </c>
      <c r="N55" s="12" t="n">
        <f aca="false">E55*(-F55)</f>
        <v>96.2652222222223</v>
      </c>
    </row>
    <row r="56" customFormat="false" ht="12.8" hidden="false" customHeight="false" outlineLevel="0" collapsed="false">
      <c r="A56" s="14" t="n">
        <v>0.611111111111111</v>
      </c>
      <c r="B56" s="2" t="n">
        <v>3.36666666666667</v>
      </c>
      <c r="C56" s="2" t="n">
        <v>25.1</v>
      </c>
      <c r="D56" s="2" t="n">
        <v>508.738915779284</v>
      </c>
      <c r="E56" s="3" t="n">
        <v>4.15466666666667</v>
      </c>
      <c r="F56" s="2" t="n">
        <v>-23.8333333333333</v>
      </c>
      <c r="G56" s="1" t="n">
        <v>5957</v>
      </c>
      <c r="H56" s="1" t="n">
        <v>3.57</v>
      </c>
      <c r="I56" s="12" t="n">
        <f aca="false">H56*3.6</f>
        <v>12.852</v>
      </c>
      <c r="J56" s="4" t="n">
        <f aca="false">LN(D56/1007.23)*(-8645.2)+105</f>
        <v>6009.88183809913</v>
      </c>
      <c r="K56" s="4" t="n">
        <f aca="false">45438.5*(1-(D56/1007.23)^0.1903)+105</f>
        <v>5643.34392675001</v>
      </c>
      <c r="L56" s="4" t="n">
        <f aca="false">105+29.271*(273.15+B56)*LN(1007.23/D56)</f>
        <v>5633.34374784321</v>
      </c>
      <c r="M56" s="3" t="n">
        <f aca="false">M55-0.016/40</f>
        <v>4.1544</v>
      </c>
      <c r="N56" s="12" t="n">
        <f aca="false">E56*(-F56)</f>
        <v>99.0195555555555</v>
      </c>
    </row>
    <row r="57" customFormat="false" ht="12.8" hidden="false" customHeight="false" outlineLevel="0" collapsed="false">
      <c r="A57" s="13" t="n">
        <v>0.611458333333333</v>
      </c>
      <c r="B57" s="2" t="n">
        <v>3.05</v>
      </c>
      <c r="C57" s="2" t="n">
        <v>24.8</v>
      </c>
      <c r="D57" s="2" t="n">
        <v>501.799677315263</v>
      </c>
      <c r="E57" s="3" t="n">
        <v>4.15333333333333</v>
      </c>
      <c r="F57" s="2" t="n">
        <v>-23.6666666666667</v>
      </c>
      <c r="G57" s="1" t="n">
        <v>6056</v>
      </c>
      <c r="H57" s="1" t="n">
        <v>3.23</v>
      </c>
      <c r="I57" s="12" t="n">
        <f aca="false">H57*3.6</f>
        <v>11.628</v>
      </c>
      <c r="J57" s="4" t="n">
        <f aca="false">LN(D57/1007.23)*(-8645.2)+105</f>
        <v>6128.6146559141</v>
      </c>
      <c r="K57" s="4" t="n">
        <f aca="false">45438.5*(1-(D57/1007.23)^0.1903)+105</f>
        <v>5747.48971379182</v>
      </c>
      <c r="L57" s="4" t="n">
        <f aca="false">105+29.271*(273.15+B57)*LN(1007.23/D57)</f>
        <v>5738.04694311974</v>
      </c>
      <c r="M57" s="3" t="n">
        <f aca="false">M56-0.016/40</f>
        <v>4.154</v>
      </c>
      <c r="N57" s="12" t="n">
        <f aca="false">E57*(-F57)</f>
        <v>98.2955555555556</v>
      </c>
    </row>
    <row r="58" customFormat="false" ht="12.8" hidden="false" customHeight="false" outlineLevel="0" collapsed="false">
      <c r="A58" s="14" t="n">
        <v>0.611805555555556</v>
      </c>
      <c r="B58" s="2" t="n">
        <v>2.45</v>
      </c>
      <c r="C58" s="2" t="n">
        <v>24.5</v>
      </c>
      <c r="D58" s="2" t="n">
        <v>494.956373023556</v>
      </c>
      <c r="E58" s="3" t="n">
        <v>4.152</v>
      </c>
      <c r="F58" s="2" t="n">
        <v>-23.5</v>
      </c>
      <c r="G58" s="1" t="n">
        <v>6157</v>
      </c>
      <c r="H58" s="1" t="n">
        <v>3.23</v>
      </c>
      <c r="I58" s="12" t="n">
        <f aca="false">H58*3.6</f>
        <v>11.628</v>
      </c>
      <c r="J58" s="4" t="n">
        <f aca="false">LN(D58/1007.23)*(-8645.2)+105</f>
        <v>6247.32507421679</v>
      </c>
      <c r="K58" s="4" t="n">
        <f aca="false">45438.5*(1-(D58/1007.23)^0.1903)+105</f>
        <v>5851.34409295369</v>
      </c>
      <c r="L58" s="4" t="n">
        <f aca="false">105+29.271*(273.15+B58)*LN(1007.23/D58)</f>
        <v>5836.58220068747</v>
      </c>
      <c r="M58" s="3" t="n">
        <f aca="false">M57-0.016/40</f>
        <v>4.1536</v>
      </c>
      <c r="N58" s="12" t="n">
        <f aca="false">E58*(-F58)</f>
        <v>97.572</v>
      </c>
    </row>
    <row r="59" customFormat="false" ht="12.8" hidden="false" customHeight="false" outlineLevel="0" collapsed="false">
      <c r="A59" s="13" t="n">
        <v>0.612152777777778</v>
      </c>
      <c r="B59" s="2" t="n">
        <v>1.73333333333333</v>
      </c>
      <c r="C59" s="2" t="n">
        <v>24.2</v>
      </c>
      <c r="D59" s="2" t="n">
        <v>488.177024846725</v>
      </c>
      <c r="E59" s="3" t="n">
        <v>4.152</v>
      </c>
      <c r="F59" s="2" t="n">
        <v>-23.5</v>
      </c>
      <c r="G59" s="1" t="n">
        <v>6256</v>
      </c>
      <c r="H59" s="1" t="n">
        <v>3.3</v>
      </c>
      <c r="I59" s="12" t="n">
        <f aca="false">H59*3.6</f>
        <v>11.88</v>
      </c>
      <c r="J59" s="4" t="n">
        <f aca="false">LN(D59/1007.23)*(-8645.2)+105</f>
        <v>6366.55558751762</v>
      </c>
      <c r="K59" s="4" t="n">
        <f aca="false">45438.5*(1-(D59/1007.23)^0.1903)+105</f>
        <v>5955.38067156972</v>
      </c>
      <c r="L59" s="4" t="n">
        <f aca="false">105+29.271*(273.15+B59)*LN(1007.23/D59)</f>
        <v>5932.64601644371</v>
      </c>
      <c r="M59" s="3" t="n">
        <f aca="false">M58-0.016/40</f>
        <v>4.1532</v>
      </c>
      <c r="N59" s="12" t="n">
        <f aca="false">E59*(-F59)</f>
        <v>97.572</v>
      </c>
    </row>
    <row r="60" customFormat="false" ht="12.8" hidden="false" customHeight="false" outlineLevel="0" collapsed="false">
      <c r="A60" s="14" t="n">
        <v>0.6125</v>
      </c>
      <c r="B60" s="2" t="n">
        <v>1.21666666666667</v>
      </c>
      <c r="C60" s="2" t="n">
        <v>23.9</v>
      </c>
      <c r="D60" s="2" t="n">
        <v>481.845369474024</v>
      </c>
      <c r="E60" s="3" t="n">
        <v>4.152</v>
      </c>
      <c r="F60" s="2" t="n">
        <v>-23.6666666666667</v>
      </c>
      <c r="G60" s="1" t="n">
        <v>6355</v>
      </c>
      <c r="H60" s="1" t="n">
        <v>3.31</v>
      </c>
      <c r="I60" s="12" t="n">
        <f aca="false">H60*3.6</f>
        <v>11.916</v>
      </c>
      <c r="J60" s="4" t="n">
        <f aca="false">LN(D60/1007.23)*(-8645.2)+105</f>
        <v>6479.41732094569</v>
      </c>
      <c r="K60" s="4" t="n">
        <f aca="false">45438.5*(1-(D60/1007.23)^0.1903)+105</f>
        <v>6053.60882394138</v>
      </c>
      <c r="L60" s="4" t="n">
        <f aca="false">105+29.271*(273.15+B60)*LN(1007.23/D60)</f>
        <v>6026.53573367469</v>
      </c>
      <c r="M60" s="3" t="n">
        <f aca="false">M59-0.016/40</f>
        <v>4.1528</v>
      </c>
      <c r="N60" s="12" t="n">
        <f aca="false">E60*(-F60)</f>
        <v>98.2640000000001</v>
      </c>
    </row>
    <row r="61" customFormat="false" ht="12.8" hidden="false" customHeight="false" outlineLevel="0" collapsed="false">
      <c r="A61" s="13" t="n">
        <v>0.612847222222222</v>
      </c>
      <c r="B61" s="2" t="n">
        <v>0.566666666666667</v>
      </c>
      <c r="C61" s="2" t="n">
        <v>23.6</v>
      </c>
      <c r="D61" s="2" t="n">
        <v>475.529703130042</v>
      </c>
      <c r="E61" s="3" t="n">
        <v>4.152</v>
      </c>
      <c r="F61" s="2" t="n">
        <v>-23.6666666666667</v>
      </c>
      <c r="G61" s="1" t="n">
        <v>6452</v>
      </c>
      <c r="H61" s="1" t="n">
        <v>3.23</v>
      </c>
      <c r="I61" s="12" t="n">
        <f aca="false">H61*3.6</f>
        <v>11.628</v>
      </c>
      <c r="J61" s="4" t="n">
        <f aca="false">LN(D61/1007.23)*(-8645.2)+105</f>
        <v>6593.48126996646</v>
      </c>
      <c r="K61" s="4" t="n">
        <f aca="false">45438.5*(1-(D61/1007.23)^0.1903)+105</f>
        <v>6152.63567847706</v>
      </c>
      <c r="L61" s="4" t="n">
        <f aca="false">105+29.271*(273.15+B61)*LN(1007.23/D61)</f>
        <v>6118.21611580821</v>
      </c>
      <c r="M61" s="3" t="n">
        <f aca="false">M60-0.016/40</f>
        <v>4.1524</v>
      </c>
      <c r="N61" s="12" t="n">
        <f aca="false">E61*(-F61)</f>
        <v>98.2640000000001</v>
      </c>
    </row>
    <row r="62" customFormat="false" ht="12.8" hidden="false" customHeight="false" outlineLevel="0" collapsed="false">
      <c r="A62" s="14" t="n">
        <v>0.613194444444445</v>
      </c>
      <c r="B62" s="2" t="n">
        <v>-0.116666666666667</v>
      </c>
      <c r="C62" s="2" t="n">
        <v>23.3</v>
      </c>
      <c r="D62" s="2" t="n">
        <v>469.262003872217</v>
      </c>
      <c r="E62" s="3" t="n">
        <v>4.152</v>
      </c>
      <c r="F62" s="2" t="n">
        <v>-23.5</v>
      </c>
      <c r="G62" s="1" t="n">
        <v>6553</v>
      </c>
      <c r="H62" s="1" t="n">
        <v>3.44</v>
      </c>
      <c r="I62" s="12" t="n">
        <f aca="false">H62*3.6</f>
        <v>12.384</v>
      </c>
      <c r="J62" s="4" t="n">
        <f aca="false">LN(D62/1007.23)*(-8645.2)+105</f>
        <v>6708.18657089453</v>
      </c>
      <c r="K62" s="4" t="n">
        <f aca="false">45438.5*(1-(D62/1007.23)^0.1903)+105</f>
        <v>6251.96891333988</v>
      </c>
      <c r="L62" s="4" t="n">
        <f aca="false">105+29.271*(273.15+B62)*LN(1007.23/D62)</f>
        <v>6209.2421647832</v>
      </c>
      <c r="M62" s="3" t="n">
        <f aca="false">M61-0.016/40</f>
        <v>4.152</v>
      </c>
      <c r="N62" s="12" t="n">
        <f aca="false">E62*(-F62)</f>
        <v>97.572</v>
      </c>
    </row>
    <row r="63" customFormat="false" ht="12.8" hidden="false" customHeight="false" outlineLevel="0" collapsed="false">
      <c r="A63" s="13" t="n">
        <v>0.613541666666667</v>
      </c>
      <c r="B63" s="2" t="n">
        <v>-0.4</v>
      </c>
      <c r="C63" s="2" t="n">
        <v>23</v>
      </c>
      <c r="D63" s="2" t="n">
        <v>463.02628267183</v>
      </c>
      <c r="E63" s="3" t="n">
        <v>4.152</v>
      </c>
      <c r="F63" s="2" t="n">
        <v>-23.8333333333333</v>
      </c>
      <c r="G63" s="1" t="n">
        <v>6658</v>
      </c>
      <c r="H63" s="1" t="n">
        <v>3.03</v>
      </c>
      <c r="I63" s="12" t="n">
        <f aca="false">H63*3.6</f>
        <v>10.908</v>
      </c>
      <c r="J63" s="4" t="n">
        <f aca="false">LN(D63/1007.23)*(-8645.2)+105</f>
        <v>6823.83719451024</v>
      </c>
      <c r="K63" s="4" t="n">
        <f aca="false">45438.5*(1-(D63/1007.23)^0.1903)+105</f>
        <v>6351.86718962866</v>
      </c>
      <c r="L63" s="4" t="n">
        <f aca="false">105+29.271*(273.15+B63)*LN(1007.23/D63)</f>
        <v>6309.70862793445</v>
      </c>
      <c r="M63" s="3" t="n">
        <f aca="false">M62-0.016/40</f>
        <v>4.1516</v>
      </c>
      <c r="N63" s="12" t="n">
        <f aca="false">E63*(-F63)</f>
        <v>98.9559999999999</v>
      </c>
    </row>
    <row r="64" customFormat="false" ht="12.8" hidden="false" customHeight="false" outlineLevel="0" collapsed="false">
      <c r="A64" s="14" t="n">
        <v>0.613888888888889</v>
      </c>
      <c r="B64" s="2" t="n">
        <v>-0.533333333333333</v>
      </c>
      <c r="C64" s="2" t="n">
        <v>22.6666666666667</v>
      </c>
      <c r="D64" s="2" t="n">
        <v>456.966440787351</v>
      </c>
      <c r="E64" s="3" t="n">
        <v>4.15066666666667</v>
      </c>
      <c r="F64" s="2" t="n">
        <v>-23.3333333333333</v>
      </c>
      <c r="G64" s="1" t="n">
        <v>6748</v>
      </c>
      <c r="H64" s="1" t="n">
        <v>3.16</v>
      </c>
      <c r="I64" s="12" t="n">
        <f aca="false">H64*3.6</f>
        <v>11.376</v>
      </c>
      <c r="J64" s="4" t="n">
        <f aca="false">LN(D64/1007.23)*(-8645.2)+105</f>
        <v>6937.72788384718</v>
      </c>
      <c r="K64" s="4" t="n">
        <f aca="false">45438.5*(1-(D64/1007.23)^0.1903)+105</f>
        <v>6449.99702068887</v>
      </c>
      <c r="L64" s="4" t="n">
        <f aca="false">105+29.271*(273.15+B64)*LN(1007.23/D64)</f>
        <v>6411.7997731217</v>
      </c>
      <c r="M64" s="3" t="n">
        <f aca="false">M63-0.016/40</f>
        <v>4.1512</v>
      </c>
      <c r="N64" s="12" t="n">
        <f aca="false">E64*(-F64)</f>
        <v>96.8488888888888</v>
      </c>
    </row>
    <row r="65" customFormat="false" ht="12.8" hidden="false" customHeight="false" outlineLevel="0" collapsed="false">
      <c r="A65" s="13" t="n">
        <v>0.614236111111111</v>
      </c>
      <c r="B65" s="2" t="n">
        <v>-1.25</v>
      </c>
      <c r="C65" s="2" t="n">
        <v>22.35</v>
      </c>
      <c r="D65" s="2" t="n">
        <v>450.986544046467</v>
      </c>
      <c r="E65" s="3" t="n">
        <v>4.14933333333333</v>
      </c>
      <c r="F65" s="2" t="n">
        <v>-23.1666666666667</v>
      </c>
      <c r="G65" s="1" t="n">
        <v>6842</v>
      </c>
      <c r="H65" s="1" t="n">
        <v>3.19</v>
      </c>
      <c r="I65" s="12" t="n">
        <f aca="false">H65*3.6</f>
        <v>11.484</v>
      </c>
      <c r="J65" s="4" t="n">
        <f aca="false">LN(D65/1007.23)*(-8645.2)+105</f>
        <v>7051.60635923524</v>
      </c>
      <c r="K65" s="4" t="n">
        <f aca="false">45438.5*(1-(D65/1007.23)^0.1903)+105</f>
        <v>6547.87066550886</v>
      </c>
      <c r="L65" s="4" t="n">
        <f aca="false">105+29.271*(273.15+B65)*LN(1007.23/D65)</f>
        <v>6500.05688684187</v>
      </c>
      <c r="M65" s="3" t="n">
        <f aca="false">M64-0.016/40</f>
        <v>4.1508</v>
      </c>
      <c r="N65" s="12" t="n">
        <f aca="false">E65*(-F65)</f>
        <v>96.1262222222223</v>
      </c>
    </row>
    <row r="66" customFormat="false" ht="12.8" hidden="false" customHeight="false" outlineLevel="0" collapsed="false">
      <c r="A66" s="14" t="n">
        <v>0.614583333333333</v>
      </c>
      <c r="B66" s="2" t="n">
        <v>-2</v>
      </c>
      <c r="C66" s="2" t="n">
        <v>22.0166666666667</v>
      </c>
      <c r="D66" s="2" t="n">
        <v>445.006647305582</v>
      </c>
      <c r="E66" s="3" t="n">
        <v>4.148</v>
      </c>
      <c r="F66" s="2" t="n">
        <v>-23.6666666666667</v>
      </c>
      <c r="G66" s="1" t="n">
        <v>6934</v>
      </c>
      <c r="H66" s="1" t="n">
        <v>3.18</v>
      </c>
      <c r="I66" s="12" t="n">
        <f aca="false">H66*3.6</f>
        <v>11.448</v>
      </c>
      <c r="J66" s="4" t="n">
        <f aca="false">LN(D66/1007.23)*(-8645.2)+105</f>
        <v>7167.00493906136</v>
      </c>
      <c r="K66" s="4" t="n">
        <f aca="false">45438.5*(1-(D66/1007.23)^0.1903)+105</f>
        <v>6646.80081499347</v>
      </c>
      <c r="L66" s="4" t="n">
        <f aca="false">105+29.271*(273.15+B66)*LN(1007.23/D66)</f>
        <v>6588.36005098766</v>
      </c>
      <c r="M66" s="3" t="n">
        <f aca="false">M65-0.016/40</f>
        <v>4.1504</v>
      </c>
      <c r="N66" s="12" t="n">
        <f aca="false">E66*(-F66)</f>
        <v>98.1693333333335</v>
      </c>
    </row>
    <row r="67" customFormat="false" ht="12.8" hidden="false" customHeight="false" outlineLevel="0" collapsed="false">
      <c r="A67" s="13" t="n">
        <v>0.614930555555556</v>
      </c>
      <c r="B67" s="2" t="n">
        <v>-2.56666666666667</v>
      </c>
      <c r="C67" s="2" t="n">
        <v>21.7</v>
      </c>
      <c r="D67" s="2" t="n">
        <v>439.60235559858</v>
      </c>
      <c r="E67" s="3" t="n">
        <v>4.148</v>
      </c>
      <c r="F67" s="2" t="n">
        <v>-23</v>
      </c>
      <c r="G67" s="1" t="n">
        <v>7031</v>
      </c>
      <c r="H67" s="1" t="n">
        <v>3.18</v>
      </c>
      <c r="I67" s="12" t="n">
        <f aca="false">H67*3.6</f>
        <v>11.448</v>
      </c>
      <c r="J67" s="4" t="n">
        <f aca="false">LN(D67/1007.23)*(-8645.2)+105</f>
        <v>7272.63751521868</v>
      </c>
      <c r="K67" s="4" t="n">
        <f aca="false">45438.5*(1-(D67/1007.23)^0.1903)+105</f>
        <v>6737.13862305232</v>
      </c>
      <c r="L67" s="4" t="n">
        <f aca="false">105+29.271*(273.15+B67)*LN(1007.23/D67)</f>
        <v>6671.58531899942</v>
      </c>
      <c r="M67" s="3" t="n">
        <f aca="false">M66-0.016/40</f>
        <v>4.15</v>
      </c>
      <c r="N67" s="12" t="n">
        <f aca="false">E67*(-F67)</f>
        <v>95.404</v>
      </c>
    </row>
    <row r="68" customFormat="false" ht="12.8" hidden="false" customHeight="false" outlineLevel="0" collapsed="false">
      <c r="A68" s="14" t="n">
        <v>0.615277777777778</v>
      </c>
      <c r="B68" s="2" t="n">
        <v>-3.26666666666667</v>
      </c>
      <c r="C68" s="2" t="n">
        <v>21.3666666666667</v>
      </c>
      <c r="D68" s="2" t="n">
        <v>433.974217489513</v>
      </c>
      <c r="E68" s="3" t="n">
        <v>4.148</v>
      </c>
      <c r="F68" s="2" t="n">
        <v>-23.3333333333333</v>
      </c>
      <c r="G68" s="1" t="n">
        <v>7124</v>
      </c>
      <c r="H68" s="1" t="n">
        <v>3.31</v>
      </c>
      <c r="I68" s="12" t="n">
        <f aca="false">H68*3.6</f>
        <v>11.916</v>
      </c>
      <c r="J68" s="4" t="n">
        <f aca="false">LN(D68/1007.23)*(-8645.2)+105</f>
        <v>7384.03485415673</v>
      </c>
      <c r="K68" s="4" t="n">
        <f aca="false">45438.5*(1-(D68/1007.23)^0.1903)+105</f>
        <v>6832.17921339448</v>
      </c>
      <c r="L68" s="4" t="n">
        <f aca="false">105+29.271*(273.15+B68)*LN(1007.23/D68)</f>
        <v>6756.38948182235</v>
      </c>
      <c r="M68" s="3" t="n">
        <f aca="false">M67-0.016/40</f>
        <v>4.1496</v>
      </c>
      <c r="N68" s="12" t="n">
        <f aca="false">E68*(-F68)</f>
        <v>96.7866666666665</v>
      </c>
    </row>
    <row r="69" customFormat="false" ht="12.8" hidden="false" customHeight="false" outlineLevel="0" collapsed="false">
      <c r="A69" s="13" t="n">
        <v>0.615625</v>
      </c>
      <c r="B69" s="2" t="n">
        <v>-3.95</v>
      </c>
      <c r="C69" s="2" t="n">
        <v>21.05</v>
      </c>
      <c r="D69" s="2" t="n">
        <v>428.442013552759</v>
      </c>
      <c r="E69" s="3" t="n">
        <v>4.148</v>
      </c>
      <c r="F69" s="2" t="n">
        <v>-24</v>
      </c>
      <c r="G69" s="1" t="n">
        <v>7226</v>
      </c>
      <c r="H69" s="1" t="n">
        <v>3.27</v>
      </c>
      <c r="I69" s="12" t="n">
        <f aca="false">H69*3.6</f>
        <v>11.772</v>
      </c>
      <c r="J69" s="4" t="n">
        <f aca="false">LN(D69/1007.23)*(-8645.2)+105</f>
        <v>7494.95035825968</v>
      </c>
      <c r="K69" s="4" t="n">
        <f aca="false">45438.5*(1-(D69/1007.23)^0.1903)+105</f>
        <v>6926.57746135972</v>
      </c>
      <c r="L69" s="4" t="n">
        <f aca="false">105+29.271*(273.15+B69)*LN(1007.23/D69)</f>
        <v>6840.64347653471</v>
      </c>
      <c r="M69" s="3" t="n">
        <f aca="false">M68-0.016/40</f>
        <v>4.1492</v>
      </c>
      <c r="N69" s="12" t="n">
        <f aca="false">E69*(-F69)</f>
        <v>99.552</v>
      </c>
    </row>
    <row r="70" customFormat="false" ht="12.8" hidden="false" customHeight="false" outlineLevel="0" collapsed="false">
      <c r="A70" s="14" t="n">
        <v>0.615972222222222</v>
      </c>
      <c r="B70" s="2" t="n">
        <v>-4.7</v>
      </c>
      <c r="C70" s="2" t="n">
        <v>20.7</v>
      </c>
      <c r="D70" s="2" t="n">
        <v>422.781897386254</v>
      </c>
      <c r="E70" s="3" t="n">
        <v>4.148</v>
      </c>
      <c r="F70" s="2" t="n">
        <v>-24</v>
      </c>
      <c r="G70" s="1" t="n">
        <v>7337</v>
      </c>
      <c r="H70" s="1" t="n">
        <v>3.86</v>
      </c>
      <c r="I70" s="12" t="n">
        <f aca="false">H70*3.6</f>
        <v>13.896</v>
      </c>
      <c r="J70" s="4" t="n">
        <f aca="false">LN(D70/1007.23)*(-8645.2)+105</f>
        <v>7609.9225925931</v>
      </c>
      <c r="K70" s="4" t="n">
        <f aca="false">45438.5*(1-(D70/1007.23)^0.1903)+105</f>
        <v>7024.18535411742</v>
      </c>
      <c r="L70" s="4" t="n">
        <f aca="false">105+29.271*(273.15+B70)*LN(1007.23/D70)</f>
        <v>6926.37838023781</v>
      </c>
      <c r="M70" s="3" t="n">
        <f aca="false">M69-0.016/40</f>
        <v>4.1488</v>
      </c>
      <c r="N70" s="12" t="n">
        <f aca="false">E70*(-F70)</f>
        <v>99.552</v>
      </c>
    </row>
    <row r="71" customFormat="false" ht="12.8" hidden="false" customHeight="false" outlineLevel="0" collapsed="false">
      <c r="A71" s="13" t="n">
        <v>0.616319444444444</v>
      </c>
      <c r="B71" s="2" t="n">
        <v>-5.38333333333333</v>
      </c>
      <c r="C71" s="2" t="n">
        <v>20.3666666666667</v>
      </c>
      <c r="D71" s="2" t="n">
        <v>417.345627621814</v>
      </c>
      <c r="E71" s="3" t="n">
        <v>4.148</v>
      </c>
      <c r="F71" s="2" t="n">
        <v>-24.1666666666667</v>
      </c>
      <c r="G71" s="1" t="n">
        <v>7441</v>
      </c>
      <c r="H71" s="1" t="n">
        <v>3.4</v>
      </c>
      <c r="I71" s="12" t="n">
        <f aca="false">H71*3.6</f>
        <v>12.24</v>
      </c>
      <c r="J71" s="4" t="n">
        <f aca="false">LN(D71/1007.23)*(-8645.2)+105</f>
        <v>7721.80631007268</v>
      </c>
      <c r="K71" s="4" t="n">
        <f aca="false">45438.5*(1-(D71/1007.23)^0.1903)+105</f>
        <v>7118.93432476035</v>
      </c>
      <c r="L71" s="4" t="n">
        <f aca="false">105+29.271*(273.15+B71)*LN(1007.23/D71)</f>
        <v>7010.44926955486</v>
      </c>
      <c r="M71" s="3" t="n">
        <f aca="false">M70-0.016/40</f>
        <v>4.1484</v>
      </c>
      <c r="N71" s="12" t="n">
        <f aca="false">E71*(-F71)</f>
        <v>100.243333333333</v>
      </c>
    </row>
    <row r="72" customFormat="false" ht="12.8" hidden="false" customHeight="false" outlineLevel="0" collapsed="false">
      <c r="A72" s="14" t="n">
        <v>0.616666666666667</v>
      </c>
      <c r="B72" s="2" t="n">
        <v>-6</v>
      </c>
      <c r="C72" s="2" t="n">
        <v>20.0166666666667</v>
      </c>
      <c r="D72" s="2" t="n">
        <v>411.749467570184</v>
      </c>
      <c r="E72" s="3" t="n">
        <v>4.14733333333333</v>
      </c>
      <c r="F72" s="2" t="n">
        <v>-23.3333333333333</v>
      </c>
      <c r="G72" s="1" t="n">
        <v>7541</v>
      </c>
      <c r="H72" s="1" t="n">
        <v>3.52</v>
      </c>
      <c r="I72" s="12" t="n">
        <f aca="false">H72*3.6</f>
        <v>12.672</v>
      </c>
      <c r="J72" s="4" t="n">
        <f aca="false">LN(D72/1007.23)*(-8645.2)+105</f>
        <v>7838.51344750046</v>
      </c>
      <c r="K72" s="4" t="n">
        <f aca="false">45438.5*(1-(D72/1007.23)^0.1903)+105</f>
        <v>7217.51967860687</v>
      </c>
      <c r="L72" s="4" t="n">
        <f aca="false">105+29.271*(273.15+B72)*LN(1007.23/D72)</f>
        <v>7100.10984214768</v>
      </c>
      <c r="M72" s="3" t="n">
        <f aca="false">M71-0.016/40</f>
        <v>4.148</v>
      </c>
      <c r="N72" s="12" t="n">
        <f aca="false">E72*(-F72)</f>
        <v>96.7711111111109</v>
      </c>
    </row>
    <row r="73" customFormat="false" ht="12.8" hidden="false" customHeight="false" outlineLevel="0" collapsed="false">
      <c r="A73" s="13" t="n">
        <v>0.617013888888889</v>
      </c>
      <c r="B73" s="2" t="n">
        <v>-6.43333333333333</v>
      </c>
      <c r="C73" s="2" t="n">
        <v>19.6666666666667</v>
      </c>
      <c r="D73" s="2" t="n">
        <v>405.625669570829</v>
      </c>
      <c r="E73" s="3" t="n">
        <v>4.148</v>
      </c>
      <c r="F73" s="2" t="n">
        <v>-23</v>
      </c>
      <c r="G73" s="1" t="n">
        <v>7643</v>
      </c>
      <c r="H73" s="1" t="n">
        <v>3.3</v>
      </c>
      <c r="I73" s="12" t="n">
        <f aca="false">H73*3.6</f>
        <v>11.88</v>
      </c>
      <c r="J73" s="4" t="n">
        <f aca="false">LN(D73/1007.23)*(-8645.2)+105</f>
        <v>7968.05604461438</v>
      </c>
      <c r="K73" s="4" t="n">
        <f aca="false">45438.5*(1-(D73/1007.23)^0.1903)+105</f>
        <v>7326.65128877868</v>
      </c>
      <c r="L73" s="4" t="n">
        <f aca="false">105+29.271*(273.15+B73)*LN(1007.23/D73)</f>
        <v>7205.74703159164</v>
      </c>
      <c r="M73" s="3" t="n">
        <f aca="false">M72-0.016/40</f>
        <v>4.1476</v>
      </c>
      <c r="N73" s="12" t="n">
        <f aca="false">E73*(-F73)</f>
        <v>95.404</v>
      </c>
    </row>
    <row r="74" customFormat="false" ht="12.8" hidden="false" customHeight="false" outlineLevel="0" collapsed="false">
      <c r="A74" s="14" t="n">
        <v>0.617361111111111</v>
      </c>
      <c r="B74" s="2" t="n">
        <v>-7.05</v>
      </c>
      <c r="C74" s="2" t="n">
        <v>19.3166666666667</v>
      </c>
      <c r="D74" s="2" t="n">
        <v>399.949564375605</v>
      </c>
      <c r="E74" s="3" t="n">
        <v>4.14533333333333</v>
      </c>
      <c r="F74" s="2" t="n">
        <v>-23.6666666666667</v>
      </c>
      <c r="G74" s="1" t="n">
        <v>7742</v>
      </c>
      <c r="H74" s="1" t="n">
        <v>3.1</v>
      </c>
      <c r="I74" s="12" t="n">
        <f aca="false">H74*3.6</f>
        <v>11.16</v>
      </c>
      <c r="J74" s="4" t="n">
        <f aca="false">LN(D74/1007.23)*(-8645.2)+105</f>
        <v>8089.88669346999</v>
      </c>
      <c r="K74" s="4" t="n">
        <f aca="false">45438.5*(1-(D74/1007.23)^0.1903)+105</f>
        <v>7429.00249532932</v>
      </c>
      <c r="L74" s="4" t="n">
        <f aca="false">105+29.271*(273.15+B74)*LN(1007.23/D74)</f>
        <v>7299.09464875925</v>
      </c>
      <c r="M74" s="3" t="n">
        <f aca="false">M73-0.016/40</f>
        <v>4.1472</v>
      </c>
      <c r="N74" s="12" t="n">
        <f aca="false">E74*(-F74)</f>
        <v>98.1062222222223</v>
      </c>
    </row>
    <row r="75" customFormat="false" ht="12.8" hidden="false" customHeight="false" outlineLevel="0" collapsed="false">
      <c r="A75" s="13" t="n">
        <v>0.617708333333333</v>
      </c>
      <c r="B75" s="2" t="n">
        <v>-7.76666666666667</v>
      </c>
      <c r="C75" s="2" t="n">
        <v>18.95</v>
      </c>
      <c r="D75" s="2" t="n">
        <v>394.305437237819</v>
      </c>
      <c r="E75" s="3" t="n">
        <v>4.144</v>
      </c>
      <c r="F75" s="2" t="n">
        <v>-23.3333333333333</v>
      </c>
      <c r="G75" s="1" t="n">
        <v>7841</v>
      </c>
      <c r="H75" s="1" t="n">
        <v>3.41</v>
      </c>
      <c r="I75" s="12" t="n">
        <f aca="false">H75*3.6</f>
        <v>12.276</v>
      </c>
      <c r="J75" s="4" t="n">
        <f aca="false">LN(D75/1007.23)*(-8645.2)+105</f>
        <v>8212.75763340677</v>
      </c>
      <c r="K75" s="4" t="n">
        <f aca="false">45438.5*(1-(D75/1007.23)^0.1903)+105</f>
        <v>7531.95002863985</v>
      </c>
      <c r="L75" s="4" t="n">
        <f aca="false">105+29.271*(273.15+B75)*LN(1007.23/D75)</f>
        <v>7390.12348205798</v>
      </c>
      <c r="M75" s="3" t="n">
        <f aca="false">M74-0.016/40</f>
        <v>4.1468</v>
      </c>
      <c r="N75" s="12" t="n">
        <f aca="false">E75*(-F75)</f>
        <v>96.6933333333332</v>
      </c>
    </row>
    <row r="76" customFormat="false" ht="12.8" hidden="false" customHeight="false" outlineLevel="0" collapsed="false">
      <c r="A76" s="14" t="n">
        <v>0.618055555555556</v>
      </c>
      <c r="B76" s="2" t="n">
        <v>-8.68333333333333</v>
      </c>
      <c r="C76" s="2" t="n">
        <v>18.6</v>
      </c>
      <c r="D76" s="2" t="n">
        <v>388.773233301065</v>
      </c>
      <c r="E76" s="3" t="n">
        <v>4.144</v>
      </c>
      <c r="F76" s="2" t="n">
        <v>-23.1666666666667</v>
      </c>
      <c r="G76" s="1" t="n">
        <v>7946</v>
      </c>
      <c r="H76" s="1" t="n">
        <v>3.22</v>
      </c>
      <c r="I76" s="12" t="n">
        <f aca="false">H76*3.6</f>
        <v>11.592</v>
      </c>
      <c r="J76" s="4" t="n">
        <f aca="false">LN(D76/1007.23)*(-8645.2)+105</f>
        <v>8334.91089073734</v>
      </c>
      <c r="K76" s="4" t="n">
        <f aca="false">45438.5*(1-(D76/1007.23)^0.1903)+105</f>
        <v>7634.02061889233</v>
      </c>
      <c r="L76" s="4" t="n">
        <f aca="false">105+29.271*(273.15+B76)*LN(1007.23/D76)</f>
        <v>7474.33991822483</v>
      </c>
      <c r="M76" s="3" t="n">
        <f aca="false">M75-0.016/40</f>
        <v>4.1464</v>
      </c>
      <c r="N76" s="12" t="n">
        <f aca="false">E76*(-F76)</f>
        <v>96.0026666666668</v>
      </c>
    </row>
    <row r="77" customFormat="false" ht="12.8" hidden="false" customHeight="false" outlineLevel="0" collapsed="false">
      <c r="A77" s="13" t="n">
        <v>0.618402777777778</v>
      </c>
      <c r="B77" s="2" t="n">
        <v>-9.2</v>
      </c>
      <c r="C77" s="2" t="n">
        <v>18.2333333333333</v>
      </c>
      <c r="D77" s="2" t="n">
        <v>383.400919651501</v>
      </c>
      <c r="E77" s="3" t="n">
        <v>4.144</v>
      </c>
      <c r="F77" s="2" t="n">
        <v>-23</v>
      </c>
      <c r="G77" s="1" t="n">
        <v>8063</v>
      </c>
      <c r="H77" s="1" t="n">
        <v>3.73</v>
      </c>
      <c r="I77" s="12" t="n">
        <f aca="false">H77*3.6</f>
        <v>13.428</v>
      </c>
      <c r="J77" s="4" t="n">
        <f aca="false">LN(D77/1007.23)*(-8645.2)+105</f>
        <v>8455.20881885742</v>
      </c>
      <c r="K77" s="4" t="n">
        <f aca="false">45438.5*(1-(D77/1007.23)^0.1903)+105</f>
        <v>7734.27303017308</v>
      </c>
      <c r="L77" s="4" t="n">
        <f aca="false">105+29.271*(273.15+B77)*LN(1007.23/D77)</f>
        <v>7567.45143071206</v>
      </c>
      <c r="M77" s="3" t="n">
        <f aca="false">M76-0.016/40</f>
        <v>4.146</v>
      </c>
      <c r="N77" s="12" t="n">
        <f aca="false">E77*(-F77)</f>
        <v>95.312</v>
      </c>
    </row>
    <row r="78" customFormat="false" ht="12.8" hidden="false" customHeight="false" outlineLevel="0" collapsed="false">
      <c r="A78" s="14" t="n">
        <v>0.61875</v>
      </c>
      <c r="B78" s="2" t="n">
        <v>-9.71666666666667</v>
      </c>
      <c r="C78" s="2" t="n">
        <v>17.8666666666667</v>
      </c>
      <c r="D78" s="2" t="n">
        <v>378.076573088093</v>
      </c>
      <c r="E78" s="3" t="n">
        <v>4.144</v>
      </c>
      <c r="F78" s="2" t="n">
        <v>-23.6666666666667</v>
      </c>
      <c r="G78" s="1" t="n">
        <v>8194</v>
      </c>
      <c r="H78" s="1" t="n">
        <v>4.33</v>
      </c>
      <c r="I78" s="12" t="n">
        <f aca="false">H78*3.6</f>
        <v>15.588</v>
      </c>
      <c r="J78" s="4" t="n">
        <f aca="false">LN(D78/1007.23)*(-8645.2)+105</f>
        <v>8576.10744423881</v>
      </c>
      <c r="K78" s="4" t="n">
        <f aca="false">45438.5*(1-(D78/1007.23)^0.1903)+105</f>
        <v>7834.75893566169</v>
      </c>
      <c r="L78" s="4" t="n">
        <f aca="false">105+29.271*(273.15+B78)*LN(1007.23/D78)</f>
        <v>7660.67784342943</v>
      </c>
      <c r="M78" s="3" t="n">
        <f aca="false">M77-0.016/40</f>
        <v>4.1456</v>
      </c>
      <c r="N78" s="12" t="n">
        <f aca="false">E78*(-F78)</f>
        <v>98.0746666666668</v>
      </c>
    </row>
    <row r="79" customFormat="false" ht="12.8" hidden="false" customHeight="false" outlineLevel="0" collapsed="false">
      <c r="A79" s="13" t="n">
        <v>0.619097222222222</v>
      </c>
      <c r="B79" s="2" t="n">
        <v>-10.15</v>
      </c>
      <c r="C79" s="2" t="n">
        <v>17.4833333333333</v>
      </c>
      <c r="D79" s="2" t="n">
        <v>372.704259438529</v>
      </c>
      <c r="E79" s="3" t="n">
        <v>4.144</v>
      </c>
      <c r="F79" s="2" t="n">
        <v>-23.3333333333333</v>
      </c>
      <c r="G79" s="1" t="n">
        <v>8311</v>
      </c>
      <c r="H79" s="1" t="n">
        <v>3.88</v>
      </c>
      <c r="I79" s="12" t="n">
        <f aca="false">H79*3.6</f>
        <v>13.968</v>
      </c>
      <c r="J79" s="4" t="n">
        <f aca="false">LN(D79/1007.23)*(-8645.2)+105</f>
        <v>8699.83334847138</v>
      </c>
      <c r="K79" s="4" t="n">
        <f aca="false">45438.5*(1-(D79/1007.23)^0.1903)+105</f>
        <v>7937.31826002414</v>
      </c>
      <c r="L79" s="4" t="n">
        <f aca="false">105+29.271*(273.15+B79)*LN(1007.23/D79)</f>
        <v>7758.42311410225</v>
      </c>
      <c r="M79" s="3" t="n">
        <f aca="false">M78-0.016/40</f>
        <v>4.1452</v>
      </c>
      <c r="N79" s="12" t="n">
        <f aca="false">E79*(-F79)</f>
        <v>96.6933333333332</v>
      </c>
    </row>
    <row r="80" customFormat="false" ht="12.8" hidden="false" customHeight="false" outlineLevel="0" collapsed="false">
      <c r="A80" s="14" t="n">
        <v>0.619444444444445</v>
      </c>
      <c r="B80" s="2" t="n">
        <v>-10.9</v>
      </c>
      <c r="C80" s="2" t="n">
        <v>17.1166666666667</v>
      </c>
      <c r="D80" s="2" t="n">
        <v>366.692384640207</v>
      </c>
      <c r="E80" s="3" t="n">
        <v>4.144</v>
      </c>
      <c r="F80" s="2" t="n">
        <v>-23.3333333333333</v>
      </c>
      <c r="G80" s="1" t="n">
        <v>8418</v>
      </c>
      <c r="H80" s="1" t="n">
        <v>3.45</v>
      </c>
      <c r="I80" s="12" t="n">
        <f aca="false">H80*3.6</f>
        <v>12.42</v>
      </c>
      <c r="J80" s="4" t="n">
        <f aca="false">LN(D80/1007.23)*(-8645.2)+105</f>
        <v>8840.42096350264</v>
      </c>
      <c r="K80" s="4" t="n">
        <f aca="false">45438.5*(1-(D80/1007.23)^0.1903)+105</f>
        <v>8053.5161461007</v>
      </c>
      <c r="L80" s="4" t="n">
        <f aca="false">105+29.271*(273.15+B80)*LN(1007.23/D80)</f>
        <v>7861.42951773231</v>
      </c>
      <c r="M80" s="3" t="n">
        <f aca="false">M79-0.016/40</f>
        <v>4.1448</v>
      </c>
      <c r="N80" s="12" t="n">
        <f aca="false">E80*(-F80)</f>
        <v>96.6933333333332</v>
      </c>
    </row>
    <row r="81" customFormat="false" ht="12.8" hidden="false" customHeight="false" outlineLevel="0" collapsed="false">
      <c r="A81" s="13" t="n">
        <v>0.619791666666667</v>
      </c>
      <c r="B81" s="2" t="n">
        <v>-11.9833333333333</v>
      </c>
      <c r="C81" s="2" t="n">
        <v>16.7333333333333</v>
      </c>
      <c r="D81" s="2" t="n">
        <v>359.913036463375</v>
      </c>
      <c r="E81" s="3" t="n">
        <v>4.144</v>
      </c>
      <c r="F81" s="2" t="n">
        <v>-23.5</v>
      </c>
      <c r="G81" s="1" t="n">
        <v>8526</v>
      </c>
      <c r="H81" s="1" t="n">
        <v>3.44</v>
      </c>
      <c r="I81" s="12" t="n">
        <f aca="false">H81*3.6</f>
        <v>12.384</v>
      </c>
      <c r="J81" s="4" t="n">
        <f aca="false">LN(D81/1007.23)*(-8645.2)+105</f>
        <v>9001.74792285644</v>
      </c>
      <c r="K81" s="4" t="n">
        <f aca="false">45438.5*(1-(D81/1007.23)^0.1903)+105</f>
        <v>8186.41310654971</v>
      </c>
      <c r="L81" s="4" t="n">
        <f aca="false">105+29.271*(273.15+B81)*LN(1007.23/D81)</f>
        <v>7972.04341023615</v>
      </c>
      <c r="M81" s="3" t="n">
        <f aca="false">M80-0.016/40</f>
        <v>4.1444</v>
      </c>
      <c r="N81" s="12" t="n">
        <f aca="false">E81*(-F81)</f>
        <v>97.384</v>
      </c>
    </row>
    <row r="82" customFormat="false" ht="12.8" hidden="false" customHeight="false" outlineLevel="0" collapsed="false">
      <c r="A82" s="14" t="n">
        <v>0.620138888888889</v>
      </c>
      <c r="B82" s="2" t="n">
        <v>-12.7666666666667</v>
      </c>
      <c r="C82" s="2" t="n">
        <v>16.3666666666667</v>
      </c>
      <c r="D82" s="2" t="n">
        <v>354.125008067119</v>
      </c>
      <c r="E82" s="3" t="n">
        <v>4.14133333333333</v>
      </c>
      <c r="F82" s="2" t="n">
        <v>-23.1666666666667</v>
      </c>
      <c r="G82" s="1" t="n">
        <v>8637</v>
      </c>
      <c r="H82" s="1" t="n">
        <v>3.71</v>
      </c>
      <c r="I82" s="12" t="n">
        <f aca="false">H82*3.6</f>
        <v>13.356</v>
      </c>
      <c r="J82" s="4" t="n">
        <f aca="false">LN(D82/1007.23)*(-8645.2)+105</f>
        <v>9141.90784710383</v>
      </c>
      <c r="K82" s="4" t="n">
        <f aca="false">45438.5*(1-(D82/1007.23)^0.1903)+105</f>
        <v>8301.49071377677</v>
      </c>
      <c r="L82" s="4" t="n">
        <f aca="false">105+29.271*(273.15+B82)*LN(1007.23/D82)</f>
        <v>8072.01346069653</v>
      </c>
      <c r="M82" s="3" t="n">
        <f aca="false">M81-0.016/40</f>
        <v>4.144</v>
      </c>
      <c r="N82" s="12" t="n">
        <f aca="false">E82*(-F82)</f>
        <v>95.940888888889</v>
      </c>
    </row>
    <row r="83" customFormat="false" ht="12.8" hidden="false" customHeight="false" outlineLevel="0" collapsed="false">
      <c r="A83" s="13" t="n">
        <v>0.620486111111111</v>
      </c>
      <c r="B83" s="2" t="n">
        <v>-13.05</v>
      </c>
      <c r="C83" s="2" t="n">
        <v>15.9666666666667</v>
      </c>
      <c r="D83" s="2" t="n">
        <v>348.768683446273</v>
      </c>
      <c r="E83" s="3" t="n">
        <v>4.14</v>
      </c>
      <c r="F83" s="2" t="n">
        <v>-23.1666666666667</v>
      </c>
      <c r="G83" s="1" t="n">
        <v>8741</v>
      </c>
      <c r="H83" s="1" t="n">
        <v>3.65</v>
      </c>
      <c r="I83" s="12" t="n">
        <f aca="false">H83*3.6</f>
        <v>13.14</v>
      </c>
      <c r="J83" s="4" t="n">
        <f aca="false">LN(D83/1007.23)*(-8645.2)+105</f>
        <v>9273.67000273963</v>
      </c>
      <c r="K83" s="4" t="n">
        <f aca="false">45438.5*(1-(D83/1007.23)^0.1903)+105</f>
        <v>8409.35008451405</v>
      </c>
      <c r="L83" s="4" t="n">
        <f aca="false">105+29.271*(273.15+B83)*LN(1007.23/D83)</f>
        <v>8179.38045655564</v>
      </c>
      <c r="M83" s="3" t="n">
        <f aca="false">M82-0.016/40</f>
        <v>4.1436</v>
      </c>
      <c r="N83" s="12" t="n">
        <f aca="false">E83*(-F83)</f>
        <v>95.9100000000001</v>
      </c>
    </row>
    <row r="84" customFormat="false" ht="12.8" hidden="false" customHeight="false" outlineLevel="0" collapsed="false">
      <c r="A84" s="14" t="n">
        <v>0.620833333333333</v>
      </c>
      <c r="B84" s="2" t="n">
        <v>-13.5</v>
      </c>
      <c r="C84" s="2" t="n">
        <v>15.5833333333333</v>
      </c>
      <c r="D84" s="2" t="n">
        <v>343.604227170055</v>
      </c>
      <c r="E84" s="3" t="n">
        <v>4.14</v>
      </c>
      <c r="F84" s="2" t="n">
        <v>-22.8333333333333</v>
      </c>
      <c r="G84" s="1" t="n">
        <v>8846</v>
      </c>
      <c r="H84" s="1" t="n">
        <v>3.75</v>
      </c>
      <c r="I84" s="12" t="n">
        <f aca="false">H84*3.6</f>
        <v>13.5</v>
      </c>
      <c r="J84" s="4" t="n">
        <f aca="false">LN(D84/1007.23)*(-8645.2)+105</f>
        <v>9402.64265540948</v>
      </c>
      <c r="K84" s="4" t="n">
        <f aca="false">45438.5*(1-(D84/1007.23)^0.1903)+105</f>
        <v>8514.62345621747</v>
      </c>
      <c r="L84" s="4" t="n">
        <f aca="false">105+29.271*(273.15+B84)*LN(1007.23/D84)</f>
        <v>8278.79407867132</v>
      </c>
      <c r="M84" s="3" t="n">
        <f aca="false">M83-0.016/40</f>
        <v>4.1432</v>
      </c>
      <c r="N84" s="12" t="n">
        <f aca="false">E84*(-F84)</f>
        <v>94.5299999999999</v>
      </c>
    </row>
    <row r="85" customFormat="false" ht="12.8" hidden="false" customHeight="false" outlineLevel="0" collapsed="false">
      <c r="A85" s="13" t="n">
        <v>0.621180555555556</v>
      </c>
      <c r="B85" s="2" t="n">
        <v>-14.1833333333333</v>
      </c>
      <c r="C85" s="2" t="n">
        <v>15.1833333333333</v>
      </c>
      <c r="D85" s="2" t="n">
        <v>338.519716037431</v>
      </c>
      <c r="E85" s="3" t="n">
        <v>4.14</v>
      </c>
      <c r="F85" s="2" t="n">
        <v>-23.6666666666667</v>
      </c>
      <c r="G85" s="1" t="n">
        <v>8951</v>
      </c>
      <c r="H85" s="1" t="n">
        <v>3.34</v>
      </c>
      <c r="I85" s="12" t="n">
        <f aca="false">H85*3.6</f>
        <v>12.024</v>
      </c>
      <c r="J85" s="4" t="n">
        <f aca="false">LN(D85/1007.23)*(-8645.2)+105</f>
        <v>9531.5266513551</v>
      </c>
      <c r="K85" s="4" t="n">
        <f aca="false">45438.5*(1-(D85/1007.23)^0.1903)+105</f>
        <v>8619.52632521736</v>
      </c>
      <c r="L85" s="4" t="n">
        <f aca="false">105+29.271*(273.15+B85)*LN(1007.23/D85)</f>
        <v>8370.28972093258</v>
      </c>
      <c r="M85" s="3" t="n">
        <f aca="false">M84-0.016/40</f>
        <v>4.1428</v>
      </c>
      <c r="N85" s="12" t="n">
        <f aca="false">E85*(-F85)</f>
        <v>97.9800000000001</v>
      </c>
    </row>
    <row r="86" customFormat="false" ht="12.8" hidden="false" customHeight="false" outlineLevel="0" collapsed="false">
      <c r="A86" s="14" t="n">
        <v>0.621527777777778</v>
      </c>
      <c r="B86" s="2" t="n">
        <v>-15.15</v>
      </c>
      <c r="C86" s="2" t="n">
        <v>14.8</v>
      </c>
      <c r="D86" s="2" t="n">
        <v>333.40322684737</v>
      </c>
      <c r="E86" s="3" t="n">
        <v>4.14</v>
      </c>
      <c r="F86" s="2" t="n">
        <v>-23.5</v>
      </c>
      <c r="G86" s="1" t="n">
        <v>9057</v>
      </c>
      <c r="H86" s="1" t="n">
        <v>3.58</v>
      </c>
      <c r="I86" s="12" t="n">
        <f aca="false">H86*3.6</f>
        <v>12.888</v>
      </c>
      <c r="J86" s="4" t="n">
        <f aca="false">LN(D86/1007.23)*(-8645.2)+105</f>
        <v>9663.19034218454</v>
      </c>
      <c r="K86" s="4" t="n">
        <f aca="false">45438.5*(1-(D86/1007.23)^0.1903)+105</f>
        <v>8726.38481083737</v>
      </c>
      <c r="L86" s="4" t="n">
        <f aca="false">105+29.271*(273.15+B86)*LN(1007.23/D86)</f>
        <v>8454.45052660084</v>
      </c>
      <c r="M86" s="3" t="n">
        <f aca="false">M85-0.016/40</f>
        <v>4.1424</v>
      </c>
      <c r="N86" s="12" t="n">
        <f aca="false">E86*(-F86)</f>
        <v>97.29</v>
      </c>
    </row>
    <row r="87" customFormat="false" ht="12.8" hidden="false" customHeight="false" outlineLevel="0" collapsed="false">
      <c r="A87" s="13" t="n">
        <v>0.621875</v>
      </c>
      <c r="B87" s="2" t="n">
        <v>-16.1333333333333</v>
      </c>
      <c r="C87" s="2" t="n">
        <v>14.4</v>
      </c>
      <c r="D87" s="2" t="n">
        <v>328.238770571152</v>
      </c>
      <c r="E87" s="3" t="n">
        <v>4.14</v>
      </c>
      <c r="F87" s="2" t="n">
        <v>-23.5</v>
      </c>
      <c r="G87" s="1" t="n">
        <v>9174</v>
      </c>
      <c r="H87" s="1" t="n">
        <v>3.89</v>
      </c>
      <c r="I87" s="12" t="n">
        <f aca="false">H87*3.6</f>
        <v>14.004</v>
      </c>
      <c r="J87" s="4" t="n">
        <f aca="false">LN(D87/1007.23)*(-8645.2)+105</f>
        <v>9798.15355293536</v>
      </c>
      <c r="K87" s="4" t="n">
        <f aca="false">45438.5*(1-(D87/1007.23)^0.1903)+105</f>
        <v>8835.60022862772</v>
      </c>
      <c r="L87" s="4" t="n">
        <f aca="false">105+29.271*(273.15+B87)*LN(1007.23/D87)</f>
        <v>8540.07394860609</v>
      </c>
      <c r="M87" s="3" t="n">
        <f aca="false">M86-0.016/40</f>
        <v>4.142</v>
      </c>
      <c r="N87" s="12" t="n">
        <f aca="false">E87*(-F87)</f>
        <v>97.29</v>
      </c>
    </row>
    <row r="88" customFormat="false" ht="12.8" hidden="false" customHeight="false" outlineLevel="0" collapsed="false">
      <c r="A88" s="14" t="n">
        <v>0.622222222222222</v>
      </c>
      <c r="B88" s="2" t="n">
        <v>-16.7666666666667</v>
      </c>
      <c r="C88" s="2" t="n">
        <v>13.9833333333333</v>
      </c>
      <c r="D88" s="2" t="n">
        <v>323.298160696999</v>
      </c>
      <c r="E88" s="3" t="n">
        <v>4.14</v>
      </c>
      <c r="F88" s="2" t="n">
        <v>-23</v>
      </c>
      <c r="G88" s="1" t="n">
        <v>9287</v>
      </c>
      <c r="H88" s="1" t="n">
        <v>3.95</v>
      </c>
      <c r="I88" s="12" t="n">
        <f aca="false">H88*3.6</f>
        <v>14.22</v>
      </c>
      <c r="J88" s="4" t="n">
        <f aca="false">LN(D88/1007.23)*(-8645.2)+105</f>
        <v>9929.2693106107</v>
      </c>
      <c r="K88" s="4" t="n">
        <f aca="false">45438.5*(1-(D88/1007.23)^0.1903)+105</f>
        <v>8941.39192991074</v>
      </c>
      <c r="L88" s="4" t="n">
        <f aca="false">105+29.271*(273.15+B88)*LN(1007.23/D88)</f>
        <v>8633.10548913616</v>
      </c>
      <c r="M88" s="3" t="n">
        <f aca="false">M87-0.016/40</f>
        <v>4.1416</v>
      </c>
      <c r="N88" s="12" t="n">
        <f aca="false">E88*(-F88)</f>
        <v>95.22</v>
      </c>
    </row>
    <row r="89" customFormat="false" ht="12.8" hidden="false" customHeight="false" outlineLevel="0" collapsed="false">
      <c r="A89" s="13" t="n">
        <v>0.622569444444444</v>
      </c>
      <c r="B89" s="2" t="n">
        <v>-17.2</v>
      </c>
      <c r="C89" s="2" t="n">
        <v>13.5833333333333</v>
      </c>
      <c r="D89" s="2" t="n">
        <v>318.229638593095</v>
      </c>
      <c r="E89" s="3" t="n">
        <v>4.138</v>
      </c>
      <c r="F89" s="2" t="n">
        <v>-22.8333333333333</v>
      </c>
      <c r="G89" s="1" t="n">
        <v>9395</v>
      </c>
      <c r="H89" s="1" t="n">
        <v>3.81</v>
      </c>
      <c r="I89" s="12" t="n">
        <f aca="false">H89*3.6</f>
        <v>13.716</v>
      </c>
      <c r="J89" s="4" t="n">
        <f aca="false">LN(D89/1007.23)*(-8645.2)+105</f>
        <v>10065.8785085491</v>
      </c>
      <c r="K89" s="4" t="n">
        <f aca="false">45438.5*(1-(D89/1007.23)^0.1903)+105</f>
        <v>9051.29174720656</v>
      </c>
      <c r="L89" s="4" t="n">
        <f aca="false">105+29.271*(273.15+B89)*LN(1007.23/D89)</f>
        <v>8737.07672594466</v>
      </c>
      <c r="M89" s="3" t="n">
        <f aca="false">M88-0.016/40</f>
        <v>4.1412</v>
      </c>
      <c r="N89" s="12" t="n">
        <f aca="false">E89*(-F89)</f>
        <v>94.4843333333332</v>
      </c>
    </row>
    <row r="90" customFormat="false" ht="12.8" hidden="false" customHeight="false" outlineLevel="0" collapsed="false">
      <c r="A90" s="14" t="n">
        <v>0.622916666666667</v>
      </c>
      <c r="B90" s="2" t="n">
        <v>-18</v>
      </c>
      <c r="C90" s="2" t="n">
        <v>13.1666666666667</v>
      </c>
      <c r="D90" s="2" t="n">
        <v>313.033204259439</v>
      </c>
      <c r="E90" s="3" t="n">
        <v>4.13666666666667</v>
      </c>
      <c r="F90" s="2" t="n">
        <v>-23.1666666666667</v>
      </c>
      <c r="G90" s="1" t="n">
        <v>9511</v>
      </c>
      <c r="H90" s="1" t="n">
        <v>3.66</v>
      </c>
      <c r="I90" s="12" t="n">
        <f aca="false">H90*3.6</f>
        <v>13.176</v>
      </c>
      <c r="J90" s="4" t="n">
        <f aca="false">LN(D90/1007.23)*(-8645.2)+105</f>
        <v>10208.2129715365</v>
      </c>
      <c r="K90" s="4" t="n">
        <f aca="false">45438.5*(1-(D90/1007.23)^0.1903)+105</f>
        <v>9165.44644524</v>
      </c>
      <c r="L90" s="4" t="n">
        <f aca="false">105+29.271*(273.15+B90)*LN(1007.23/D90)</f>
        <v>8833.05743406095</v>
      </c>
      <c r="M90" s="3" t="n">
        <f aca="false">M89-0.016/40</f>
        <v>4.1408</v>
      </c>
      <c r="N90" s="12" t="n">
        <f aca="false">E90*(-F90)</f>
        <v>95.832777777778</v>
      </c>
    </row>
    <row r="91" customFormat="false" ht="12.8" hidden="false" customHeight="false" outlineLevel="0" collapsed="false">
      <c r="A91" s="13" t="n">
        <v>0.623263888888889</v>
      </c>
      <c r="B91" s="2" t="n">
        <v>-19</v>
      </c>
      <c r="C91" s="2" t="n">
        <v>12.75</v>
      </c>
      <c r="D91" s="2" t="n">
        <v>307.948693126815</v>
      </c>
      <c r="E91" s="3" t="n">
        <v>4.136</v>
      </c>
      <c r="F91" s="2" t="n">
        <v>-23.5</v>
      </c>
      <c r="G91" s="1" t="n">
        <v>9626</v>
      </c>
      <c r="H91" s="1" t="n">
        <v>3.89</v>
      </c>
      <c r="I91" s="12" t="n">
        <f aca="false">H91*3.6</f>
        <v>14.004</v>
      </c>
      <c r="J91" s="4" t="n">
        <f aca="false">LN(D91/1007.23)*(-8645.2)+105</f>
        <v>10349.7874624093</v>
      </c>
      <c r="K91" s="4" t="n">
        <f aca="false">45438.5*(1-(D91/1007.23)^0.1903)+105</f>
        <v>9278.63738743367</v>
      </c>
      <c r="L91" s="4" t="n">
        <f aca="false">105+29.271*(273.15+B91)*LN(1007.23/D91)</f>
        <v>8920.67522143691</v>
      </c>
      <c r="M91" s="3" t="n">
        <f aca="false">M90-0.016/40</f>
        <v>4.1404</v>
      </c>
      <c r="N91" s="12" t="n">
        <f aca="false">E91*(-F91)</f>
        <v>97.196</v>
      </c>
    </row>
    <row r="92" customFormat="false" ht="12.8" hidden="false" customHeight="false" outlineLevel="0" collapsed="false">
      <c r="A92" s="14" t="n">
        <v>0.623611111111111</v>
      </c>
      <c r="B92" s="2" t="n">
        <v>-19.3833333333333</v>
      </c>
      <c r="C92" s="2" t="n">
        <v>12.3166666666667</v>
      </c>
      <c r="D92" s="2" t="n">
        <v>302.992094223943</v>
      </c>
      <c r="E92" s="3" t="n">
        <v>4.136</v>
      </c>
      <c r="F92" s="2" t="n">
        <v>-22.6666666666667</v>
      </c>
      <c r="G92" s="1" t="n">
        <v>9740</v>
      </c>
      <c r="H92" s="1" t="n">
        <v>4.06</v>
      </c>
      <c r="I92" s="12" t="n">
        <f aca="false">H92*3.6</f>
        <v>14.616</v>
      </c>
      <c r="J92" s="4" t="n">
        <f aca="false">LN(D92/1007.23)*(-8645.2)+105</f>
        <v>10490.0685827094</v>
      </c>
      <c r="K92" s="4" t="n">
        <f aca="false">45438.5*(1-(D92/1007.23)^0.1903)+105</f>
        <v>9390.44687305714</v>
      </c>
      <c r="L92" s="4" t="n">
        <f aca="false">105+29.271*(273.15+B92)*LN(1007.23/D92)</f>
        <v>9027.90889871223</v>
      </c>
      <c r="M92" s="3" t="n">
        <f aca="false">M91-0.016/40</f>
        <v>4.14</v>
      </c>
      <c r="N92" s="12" t="n">
        <f aca="false">E92*(-F92)</f>
        <v>93.7493333333335</v>
      </c>
    </row>
    <row r="93" customFormat="false" ht="12.8" hidden="false" customHeight="false" outlineLevel="0" collapsed="false">
      <c r="A93" s="13" t="n">
        <v>0.623958333333333</v>
      </c>
      <c r="B93" s="2" t="n">
        <v>-19.7666666666667</v>
      </c>
      <c r="C93" s="2" t="n">
        <v>11.9</v>
      </c>
      <c r="D93" s="2" t="n">
        <v>297.971539206196</v>
      </c>
      <c r="E93" s="3" t="n">
        <v>4.136</v>
      </c>
      <c r="F93" s="2" t="n">
        <v>-23.3333333333333</v>
      </c>
      <c r="G93" s="1" t="n">
        <v>9852</v>
      </c>
      <c r="H93" s="1" t="n">
        <v>3.86</v>
      </c>
      <c r="I93" s="12" t="n">
        <f aca="false">H93*3.6</f>
        <v>13.896</v>
      </c>
      <c r="J93" s="4" t="n">
        <f aca="false">LN(D93/1007.23)*(-8645.2)+105</f>
        <v>10634.5189607832</v>
      </c>
      <c r="K93" s="4" t="n">
        <f aca="false">45438.5*(1-(D93/1007.23)^0.1903)+105</f>
        <v>9505.21918539063</v>
      </c>
      <c r="L93" s="4" t="n">
        <f aca="false">105+29.271*(273.15+B93)*LN(1007.23/D93)</f>
        <v>9138.35527434296</v>
      </c>
      <c r="M93" s="3" t="n">
        <f aca="false">M92-0.016/40</f>
        <v>4.1396</v>
      </c>
      <c r="N93" s="12" t="n">
        <f aca="false">E93*(-F93)</f>
        <v>96.5066666666665</v>
      </c>
    </row>
    <row r="94" customFormat="false" ht="12.8" hidden="false" customHeight="false" outlineLevel="0" collapsed="false">
      <c r="A94" s="14" t="n">
        <v>0.624305555555556</v>
      </c>
      <c r="B94" s="2" t="n">
        <v>-20.5333333333333</v>
      </c>
      <c r="C94" s="2" t="n">
        <v>11.4666666666667</v>
      </c>
      <c r="D94" s="2" t="n">
        <v>292.950984188448</v>
      </c>
      <c r="E94" s="3" t="n">
        <v>4.136</v>
      </c>
      <c r="F94" s="2" t="n">
        <v>-22.5</v>
      </c>
      <c r="G94" s="1" t="n">
        <v>9975</v>
      </c>
      <c r="H94" s="1" t="n">
        <v>4.61</v>
      </c>
      <c r="I94" s="12" t="n">
        <f aca="false">H94*3.6</f>
        <v>16.596</v>
      </c>
      <c r="J94" s="4" t="n">
        <f aca="false">LN(D94/1007.23)*(-8645.2)+105</f>
        <v>10781.4239945927</v>
      </c>
      <c r="K94" s="4" t="n">
        <f aca="false">45438.5*(1-(D94/1007.23)^0.1903)+105</f>
        <v>9621.56813987678</v>
      </c>
      <c r="L94" s="4" t="n">
        <f aca="false">105+29.271*(273.15+B94)*LN(1007.23/D94)</f>
        <v>9236.67250698833</v>
      </c>
      <c r="M94" s="3" t="n">
        <f aca="false">M93-0.016/40</f>
        <v>4.1392</v>
      </c>
      <c r="N94" s="12" t="n">
        <f aca="false">E94*(-F94)</f>
        <v>93.06</v>
      </c>
    </row>
    <row r="95" customFormat="false" ht="12.8" hidden="false" customHeight="false" outlineLevel="0" collapsed="false">
      <c r="A95" s="13" t="n">
        <v>0.624652777777778</v>
      </c>
      <c r="B95" s="2" t="n">
        <v>-21.15</v>
      </c>
      <c r="C95" s="2" t="n">
        <v>11.0333333333333</v>
      </c>
      <c r="D95" s="2" t="n">
        <v>287.994385285576</v>
      </c>
      <c r="E95" s="3" t="n">
        <v>4.136</v>
      </c>
      <c r="F95" s="2" t="n">
        <v>-24</v>
      </c>
      <c r="G95" s="1" t="n">
        <v>10109</v>
      </c>
      <c r="H95" s="1" t="n">
        <v>3.82</v>
      </c>
      <c r="I95" s="12" t="n">
        <f aca="false">H95*3.6</f>
        <v>13.752</v>
      </c>
      <c r="J95" s="4" t="n">
        <f aca="false">LN(D95/1007.23)*(-8645.2)+105</f>
        <v>10928.9484638306</v>
      </c>
      <c r="K95" s="4" t="n">
        <f aca="false">45438.5*(1-(D95/1007.23)^0.1903)+105</f>
        <v>9738.02967994868</v>
      </c>
      <c r="L95" s="4" t="n">
        <f aca="false">105+29.271*(273.15+B95)*LN(1007.23/D95)</f>
        <v>9340.25244785153</v>
      </c>
      <c r="M95" s="3" t="n">
        <f aca="false">M94-0.016/40</f>
        <v>4.1388</v>
      </c>
      <c r="N95" s="12" t="n">
        <f aca="false">E95*(-F95)</f>
        <v>99.264</v>
      </c>
    </row>
    <row r="96" customFormat="false" ht="12.8" hidden="false" customHeight="false" outlineLevel="0" collapsed="false">
      <c r="A96" s="14" t="n">
        <v>0.625</v>
      </c>
      <c r="B96" s="2" t="n">
        <v>-21.6666666666667</v>
      </c>
      <c r="C96" s="2" t="n">
        <v>10.6</v>
      </c>
      <c r="D96" s="2" t="n">
        <v>283.085753468861</v>
      </c>
      <c r="E96" s="3" t="n">
        <v>4.134</v>
      </c>
      <c r="F96" s="2" t="n">
        <v>-22.1666666666667</v>
      </c>
      <c r="G96" s="1" t="n">
        <v>10222</v>
      </c>
      <c r="H96" s="1" t="n">
        <v>3.23</v>
      </c>
      <c r="I96" s="12" t="n">
        <f aca="false">H96*3.6</f>
        <v>11.628</v>
      </c>
      <c r="J96" s="4" t="n">
        <f aca="false">LN(D96/1007.23)*(-8645.2)+105</f>
        <v>11077.5691074423</v>
      </c>
      <c r="K96" s="4" t="n">
        <f aca="false">45438.5*(1-(D96/1007.23)^0.1903)+105</f>
        <v>9854.97479003287</v>
      </c>
      <c r="L96" s="4" t="n">
        <f aca="false">105+29.271*(273.15+B96)*LN(1007.23/D96)</f>
        <v>9447.86444774706</v>
      </c>
      <c r="M96" s="3" t="n">
        <f aca="false">M95-0.016/40</f>
        <v>4.1384</v>
      </c>
      <c r="N96" s="12" t="n">
        <f aca="false">E96*(-F96)</f>
        <v>91.6370000000001</v>
      </c>
    </row>
    <row r="97" customFormat="false" ht="12.8" hidden="false" customHeight="false" outlineLevel="0" collapsed="false">
      <c r="A97" s="13" t="n">
        <v>0.625347222222222</v>
      </c>
      <c r="B97" s="2" t="n">
        <v>-22.5</v>
      </c>
      <c r="C97" s="2" t="n">
        <v>10.1666666666667</v>
      </c>
      <c r="D97" s="2" t="n">
        <v>277.825363020329</v>
      </c>
      <c r="E97" s="3" t="n">
        <v>4.132</v>
      </c>
      <c r="F97" s="2" t="n">
        <v>-22.6666666666667</v>
      </c>
      <c r="G97" s="1" t="n">
        <v>10330</v>
      </c>
      <c r="H97" s="1" t="n">
        <v>3.87</v>
      </c>
      <c r="I97" s="12" t="n">
        <f aca="false">H97*3.6</f>
        <v>13.932</v>
      </c>
      <c r="J97" s="4" t="n">
        <f aca="false">LN(D97/1007.23)*(-8645.2)+105</f>
        <v>11239.7283498384</v>
      </c>
      <c r="K97" s="4" t="n">
        <f aca="false">45438.5*(1-(D97/1007.23)^0.1903)+105</f>
        <v>9982.13732551386</v>
      </c>
      <c r="L97" s="4" t="n">
        <f aca="false">105+29.271*(273.15+B97)*LN(1007.23/D97)</f>
        <v>9554.52220814129</v>
      </c>
      <c r="M97" s="3" t="n">
        <f aca="false">M96-0.016/40</f>
        <v>4.138</v>
      </c>
      <c r="N97" s="12" t="n">
        <f aca="false">E97*(-F97)</f>
        <v>93.6586666666668</v>
      </c>
    </row>
    <row r="98" customFormat="false" ht="12.8" hidden="false" customHeight="false" outlineLevel="0" collapsed="false">
      <c r="A98" s="14" t="n">
        <v>0.625694444444444</v>
      </c>
      <c r="B98" s="2" t="n">
        <v>-23.05</v>
      </c>
      <c r="C98" s="2" t="n">
        <v>9.71666666666667</v>
      </c>
      <c r="D98" s="2" t="n">
        <v>272.708873830268</v>
      </c>
      <c r="E98" s="3" t="n">
        <v>4.132</v>
      </c>
      <c r="F98" s="2" t="n">
        <v>-24</v>
      </c>
      <c r="G98" s="1" t="n">
        <v>10436</v>
      </c>
      <c r="H98" s="1" t="n">
        <v>3.5</v>
      </c>
      <c r="I98" s="12" t="n">
        <f aca="false">H98*3.6</f>
        <v>12.6</v>
      </c>
      <c r="J98" s="4" t="n">
        <f aca="false">LN(D98/1007.23)*(-8645.2)+105</f>
        <v>11400.4244263327</v>
      </c>
      <c r="K98" s="4" t="n">
        <f aca="false">45438.5*(1-(D98/1007.23)^0.1903)+105</f>
        <v>10107.7054847274</v>
      </c>
      <c r="L98" s="4" t="n">
        <f aca="false">105+29.271*(273.15+B98)*LN(1007.23/D98)</f>
        <v>9669.8631532682</v>
      </c>
      <c r="M98" s="3" t="n">
        <f aca="false">M97-0.016/40</f>
        <v>4.1376</v>
      </c>
      <c r="N98" s="12" t="n">
        <f aca="false">E98*(-F98)</f>
        <v>99.168</v>
      </c>
    </row>
    <row r="99" customFormat="false" ht="12.8" hidden="false" customHeight="false" outlineLevel="0" collapsed="false">
      <c r="A99" s="13" t="n">
        <v>0.626041666666667</v>
      </c>
      <c r="B99" s="2" t="n">
        <v>-23.4833333333333</v>
      </c>
      <c r="C99" s="2" t="n">
        <v>9.3</v>
      </c>
      <c r="D99" s="2" t="n">
        <v>268.247934817683</v>
      </c>
      <c r="E99" s="3" t="n">
        <v>4.132</v>
      </c>
      <c r="F99" s="2" t="n">
        <v>-23.6666666666667</v>
      </c>
      <c r="G99" s="1" t="n">
        <v>10539</v>
      </c>
      <c r="H99" s="1" t="n">
        <v>3.09</v>
      </c>
      <c r="I99" s="12" t="n">
        <f aca="false">H99*3.6</f>
        <v>11.124</v>
      </c>
      <c r="J99" s="4" t="n">
        <f aca="false">LN(D99/1007.23)*(-8645.2)+105</f>
        <v>11543.0109824644</v>
      </c>
      <c r="K99" s="4" t="n">
        <f aca="false">45438.5*(1-(D99/1007.23)^0.1903)+105</f>
        <v>10218.7515380134</v>
      </c>
      <c r="L99" s="4" t="n">
        <f aca="false">105+29.271*(273.15+B99)*LN(1007.23/D99)</f>
        <v>9773.82249037301</v>
      </c>
      <c r="M99" s="3" t="n">
        <f aca="false">M98-0.016/40</f>
        <v>4.1372</v>
      </c>
      <c r="N99" s="12" t="n">
        <f aca="false">E99*(-F99)</f>
        <v>97.7906666666668</v>
      </c>
    </row>
    <row r="100" customFormat="false" ht="12.8" hidden="false" customHeight="false" outlineLevel="0" collapsed="false">
      <c r="A100" s="14" t="n">
        <v>0.626388888888889</v>
      </c>
      <c r="B100" s="2" t="n">
        <v>-24.3166666666667</v>
      </c>
      <c r="C100" s="2" t="n">
        <v>8.81666666666667</v>
      </c>
      <c r="D100" s="2" t="n">
        <v>263.866940948693</v>
      </c>
      <c r="E100" s="3" t="n">
        <v>4.132</v>
      </c>
      <c r="F100" s="2" t="n">
        <v>-22.3333333333333</v>
      </c>
      <c r="G100" s="1" t="n">
        <v>10647</v>
      </c>
      <c r="H100" s="1" t="n">
        <v>3.34</v>
      </c>
      <c r="I100" s="12" t="n">
        <f aca="false">H100*3.6</f>
        <v>12.024</v>
      </c>
      <c r="J100" s="4" t="n">
        <f aca="false">LN(D100/1007.23)*(-8645.2)+105</f>
        <v>11685.369054879</v>
      </c>
      <c r="K100" s="4" t="n">
        <f aca="false">45438.5*(1-(D100/1007.23)^0.1903)+105</f>
        <v>10329.2724963081</v>
      </c>
      <c r="L100" s="4" t="n">
        <f aca="false">105+29.271*(273.15+B100)*LN(1007.23/D100)</f>
        <v>9861.48704926446</v>
      </c>
      <c r="M100" s="3" t="n">
        <f aca="false">M99-0.016/40</f>
        <v>4.1368</v>
      </c>
      <c r="N100" s="12" t="n">
        <f aca="false">E100*(-F100)</f>
        <v>92.2813333333332</v>
      </c>
    </row>
    <row r="101" customFormat="false" ht="12.8" hidden="false" customHeight="false" outlineLevel="0" collapsed="false">
      <c r="A101" s="13" t="n">
        <v>0.626736111111111</v>
      </c>
      <c r="B101" s="2" t="n">
        <v>-24.9666666666667</v>
      </c>
      <c r="C101" s="2" t="n">
        <v>8.38333333333333</v>
      </c>
      <c r="D101" s="2" t="n">
        <v>259.67781542433</v>
      </c>
      <c r="E101" s="3" t="n">
        <v>4.132</v>
      </c>
      <c r="F101" s="2" t="n">
        <v>-22.1666666666667</v>
      </c>
      <c r="G101" s="1" t="n">
        <v>10758</v>
      </c>
      <c r="H101" s="1" t="n">
        <v>3.2</v>
      </c>
      <c r="I101" s="12" t="n">
        <f aca="false">H101*3.6</f>
        <v>11.52</v>
      </c>
      <c r="J101" s="4" t="n">
        <f aca="false">LN(D101/1007.23)*(-8645.2)+105</f>
        <v>11823.7205538084</v>
      </c>
      <c r="K101" s="4" t="n">
        <f aca="false">45438.5*(1-(D101/1007.23)^0.1903)+105</f>
        <v>10436.3515786269</v>
      </c>
      <c r="L101" s="4" t="n">
        <f aca="false">105+29.271*(273.15+B101)*LN(1007.23/D101)</f>
        <v>9952.25821843498</v>
      </c>
      <c r="M101" s="3" t="n">
        <f aca="false">M100-0.016/40</f>
        <v>4.1364</v>
      </c>
      <c r="N101" s="12" t="n">
        <f aca="false">E101*(-F101)</f>
        <v>91.5926666666668</v>
      </c>
    </row>
    <row r="102" customFormat="false" ht="12.8" hidden="false" customHeight="false" outlineLevel="0" collapsed="false">
      <c r="A102" s="14" t="n">
        <v>0.627083333333333</v>
      </c>
      <c r="B102" s="2" t="n">
        <v>-25.3833333333333</v>
      </c>
      <c r="C102" s="2" t="n">
        <v>7.9</v>
      </c>
      <c r="D102" s="2" t="n">
        <v>255.568635043562</v>
      </c>
      <c r="E102" s="3" t="n">
        <v>4.13</v>
      </c>
      <c r="F102" s="2" t="n">
        <v>-22</v>
      </c>
      <c r="G102" s="1" t="n">
        <v>10868</v>
      </c>
      <c r="H102" s="1" t="n">
        <v>3.88</v>
      </c>
      <c r="I102" s="12" t="n">
        <f aca="false">H102*3.6</f>
        <v>13.968</v>
      </c>
      <c r="J102" s="4" t="n">
        <f aca="false">LN(D102/1007.23)*(-8645.2)+105</f>
        <v>11961.6174355356</v>
      </c>
      <c r="K102" s="4" t="n">
        <f aca="false">45438.5*(1-(D102/1007.23)^0.1903)+105</f>
        <v>10542.7548005995</v>
      </c>
      <c r="L102" s="4" t="n">
        <f aca="false">105+29.271*(273.15+B102)*LN(1007.23/D102)</f>
        <v>10051.4064023454</v>
      </c>
      <c r="M102" s="3" t="n">
        <f aca="false">M101-0.016/40</f>
        <v>4.13600000000001</v>
      </c>
      <c r="N102" s="12" t="n">
        <f aca="false">E102*(-F102)</f>
        <v>90.86</v>
      </c>
    </row>
    <row r="103" customFormat="false" ht="12.8" hidden="false" customHeight="false" outlineLevel="0" collapsed="false">
      <c r="A103" s="13" t="n">
        <v>0.627430555555556</v>
      </c>
      <c r="B103" s="2" t="n">
        <v>-25.7166666666667</v>
      </c>
      <c r="C103" s="2" t="n">
        <v>7.46666666666667</v>
      </c>
      <c r="D103" s="2" t="n">
        <v>251.52341077767</v>
      </c>
      <c r="E103" s="3" t="n">
        <v>4.128</v>
      </c>
      <c r="F103" s="2" t="n">
        <v>-22.1666666666667</v>
      </c>
      <c r="G103" s="1" t="n">
        <v>10982</v>
      </c>
      <c r="H103" s="1" t="n">
        <v>3.48</v>
      </c>
      <c r="I103" s="12" t="n">
        <f aca="false">H103*3.6</f>
        <v>12.528</v>
      </c>
      <c r="J103" s="4" t="n">
        <f aca="false">LN(D103/1007.23)*(-8645.2)+105</f>
        <v>12099.5510315215</v>
      </c>
      <c r="K103" s="4" t="n">
        <f aca="false">45438.5*(1-(D103/1007.23)^0.1903)+105</f>
        <v>10648.8637347783</v>
      </c>
      <c r="L103" s="4" t="n">
        <f aca="false">105+29.271*(273.15+B103)*LN(1007.23/D103)</f>
        <v>10153.5805286083</v>
      </c>
      <c r="M103" s="3" t="n">
        <f aca="false">M102-0.016/40</f>
        <v>4.13560000000001</v>
      </c>
      <c r="N103" s="12" t="n">
        <f aca="false">E103*(-F103)</f>
        <v>91.5040000000001</v>
      </c>
    </row>
    <row r="104" customFormat="false" ht="12.8" hidden="false" customHeight="false" outlineLevel="0" collapsed="false">
      <c r="A104" s="14" t="n">
        <v>0.627777777777778</v>
      </c>
      <c r="B104" s="2" t="n">
        <v>-26.35</v>
      </c>
      <c r="C104" s="2" t="n">
        <v>7</v>
      </c>
      <c r="D104" s="2" t="n">
        <v>247.510164569216</v>
      </c>
      <c r="E104" s="3" t="n">
        <v>4.128</v>
      </c>
      <c r="F104" s="2" t="n">
        <v>-23.1666666666667</v>
      </c>
      <c r="G104" s="1" t="n">
        <v>11089</v>
      </c>
      <c r="H104" s="1" t="n">
        <v>3.58</v>
      </c>
      <c r="I104" s="12" t="n">
        <f aca="false">H104*3.6</f>
        <v>12.888</v>
      </c>
      <c r="J104" s="4" t="n">
        <f aca="false">LN(D104/1007.23)*(-8645.2)+105</f>
        <v>12238.6040565286</v>
      </c>
      <c r="K104" s="4" t="n">
        <f aca="false">45438.5*(1-(D104/1007.23)^0.1903)+105</f>
        <v>10755.5082124342</v>
      </c>
      <c r="L104" s="4" t="n">
        <f aca="false">105+29.271*(273.15+B104)*LN(1007.23/D104)</f>
        <v>10244.055240686</v>
      </c>
      <c r="M104" s="3" t="n">
        <f aca="false">M103-0.016/40</f>
        <v>4.13520000000001</v>
      </c>
      <c r="N104" s="12" t="n">
        <f aca="false">E104*(-F104)</f>
        <v>95.6320000000001</v>
      </c>
    </row>
    <row r="105" customFormat="false" ht="12.8" hidden="false" customHeight="false" outlineLevel="0" collapsed="false">
      <c r="A105" s="13" t="n">
        <v>0.628125</v>
      </c>
      <c r="B105" s="2" t="n">
        <v>-27.3666666666667</v>
      </c>
      <c r="C105" s="2" t="n">
        <v>6.53333333333333</v>
      </c>
      <c r="D105" s="2" t="n">
        <v>243.257082929977</v>
      </c>
      <c r="E105" s="3" t="n">
        <v>4.128</v>
      </c>
      <c r="F105" s="2" t="n">
        <v>-24.3333333333333</v>
      </c>
      <c r="G105" s="1" t="n">
        <v>11195</v>
      </c>
      <c r="H105" s="1" t="n">
        <v>3.5</v>
      </c>
      <c r="I105" s="12" t="n">
        <f aca="false">H105*3.6</f>
        <v>12.6</v>
      </c>
      <c r="J105" s="4" t="n">
        <f aca="false">LN(D105/1007.23)*(-8645.2)+105</f>
        <v>12388.4496792559</v>
      </c>
      <c r="K105" s="4" t="n">
        <f aca="false">45438.5*(1-(D105/1007.23)^0.1903)+105</f>
        <v>10870.0650759093</v>
      </c>
      <c r="L105" s="4" t="n">
        <f aca="false">105+29.271*(273.15+B105)*LN(1007.23/D105)</f>
        <v>10326.9863295344</v>
      </c>
      <c r="M105" s="3" t="n">
        <f aca="false">M104-0.016/40</f>
        <v>4.13480000000001</v>
      </c>
      <c r="N105" s="12" t="n">
        <f aca="false">E105*(-F105)</f>
        <v>100.448</v>
      </c>
    </row>
    <row r="106" customFormat="false" ht="12.8" hidden="false" customHeight="false" outlineLevel="0" collapsed="false">
      <c r="A106" s="13" t="n">
        <v>0.628472222222222</v>
      </c>
      <c r="B106" s="2" t="n">
        <v>-28.3</v>
      </c>
      <c r="C106" s="2" t="n">
        <v>6.08333333333333</v>
      </c>
      <c r="D106" s="2" t="n">
        <v>238.98801226202</v>
      </c>
      <c r="E106" s="3" t="n">
        <v>4.128</v>
      </c>
      <c r="F106" s="2" t="n">
        <v>-22.6666666666667</v>
      </c>
      <c r="G106" s="1" t="n">
        <v>11306</v>
      </c>
      <c r="H106" s="1" t="n">
        <v>3.23</v>
      </c>
      <c r="I106" s="12" t="n">
        <f aca="false">H106*3.6</f>
        <v>11.628</v>
      </c>
      <c r="J106" s="4" t="n">
        <f aca="false">LN(D106/1007.23)*(-8645.2)+105</f>
        <v>12541.5167990391</v>
      </c>
      <c r="K106" s="4" t="n">
        <f aca="false">45438.5*(1-(D106/1007.23)^0.1903)+105</f>
        <v>10986.6952924967</v>
      </c>
      <c r="L106" s="4" t="n">
        <f aca="false">105+29.271*(273.15+B106)*LN(1007.23/D106)</f>
        <v>10415.064544205</v>
      </c>
      <c r="M106" s="3" t="n">
        <f aca="false">M105-0.016/40</f>
        <v>4.13440000000001</v>
      </c>
      <c r="N106" s="12" t="n">
        <f aca="false">E106*(-F106)</f>
        <v>93.5680000000001</v>
      </c>
    </row>
    <row r="107" customFormat="false" ht="12.8" hidden="false" customHeight="false" outlineLevel="0" collapsed="false">
      <c r="A107" s="14" t="n">
        <v>0.628819444444445</v>
      </c>
      <c r="B107" s="2" t="n">
        <v>-29.0166666666667</v>
      </c>
      <c r="C107" s="2" t="n">
        <v>5.6</v>
      </c>
      <c r="D107" s="2" t="n">
        <v>235.038722168441</v>
      </c>
      <c r="E107" s="3" t="n">
        <v>4.12666666666667</v>
      </c>
      <c r="F107" s="2" t="n">
        <v>-22.3333333333333</v>
      </c>
      <c r="G107" s="1" t="n">
        <v>11411</v>
      </c>
      <c r="H107" s="1" t="n">
        <v>3.81</v>
      </c>
      <c r="I107" s="12" t="n">
        <f aca="false">H107*3.6</f>
        <v>13.716</v>
      </c>
      <c r="J107" s="4" t="n">
        <f aca="false">LN(D107/1007.23)*(-8645.2)+105</f>
        <v>12685.5727782917</v>
      </c>
      <c r="K107" s="4" t="n">
        <f aca="false">45438.5*(1-(D107/1007.23)^0.1903)+105</f>
        <v>11096.1010610057</v>
      </c>
      <c r="L107" s="4" t="n">
        <f aca="false">105+29.271*(273.15+B107)*LN(1007.23/D107)</f>
        <v>10503.962456973</v>
      </c>
      <c r="M107" s="3" t="n">
        <f aca="false">M106-0.016/40</f>
        <v>4.13400000000001</v>
      </c>
      <c r="N107" s="12" t="n">
        <f aca="false">E107*(-F107)</f>
        <v>92.1622222222222</v>
      </c>
    </row>
    <row r="108" customFormat="false" ht="12.8" hidden="false" customHeight="false" outlineLevel="0" collapsed="false">
      <c r="A108" s="13" t="n">
        <v>0.629166666666667</v>
      </c>
      <c r="B108" s="2" t="n">
        <v>-29.7333333333333</v>
      </c>
      <c r="C108" s="2" t="n">
        <v>5.11666666666667</v>
      </c>
      <c r="D108" s="2" t="n">
        <v>231.057454017425</v>
      </c>
      <c r="E108" s="3" t="n">
        <v>4.12733333333333</v>
      </c>
      <c r="F108" s="2" t="n">
        <v>-23.6666666666667</v>
      </c>
      <c r="G108" s="1" t="n">
        <v>11524</v>
      </c>
      <c r="H108" s="1" t="n">
        <v>3.47</v>
      </c>
      <c r="I108" s="12" t="n">
        <f aca="false">H108*3.6</f>
        <v>12.492</v>
      </c>
      <c r="J108" s="4" t="n">
        <f aca="false">LN(D108/1007.23)*(-8645.2)+105</f>
        <v>12833.2663157823</v>
      </c>
      <c r="K108" s="4" t="n">
        <f aca="false">45438.5*(1-(D108/1007.23)^0.1903)+105</f>
        <v>11207.9098395307</v>
      </c>
      <c r="L108" s="4" t="n">
        <f aca="false">105+29.271*(273.15+B108)*LN(1007.23/D108)</f>
        <v>10595.1592059253</v>
      </c>
      <c r="M108" s="3" t="n">
        <f aca="false">M107-0.016/40</f>
        <v>4.13360000000001</v>
      </c>
      <c r="N108" s="12" t="n">
        <f aca="false">E108*(-F108)</f>
        <v>97.6802222222223</v>
      </c>
    </row>
    <row r="109" customFormat="false" ht="12.8" hidden="false" customHeight="false" outlineLevel="0" collapsed="false">
      <c r="A109" s="14" t="n">
        <v>0.629513888888889</v>
      </c>
      <c r="B109" s="2" t="n">
        <v>-30.6</v>
      </c>
      <c r="C109" s="2" t="n">
        <v>4.63333333333333</v>
      </c>
      <c r="D109" s="2" t="n">
        <v>227.108163923846</v>
      </c>
      <c r="E109" s="3" t="n">
        <v>4.12466666666667</v>
      </c>
      <c r="F109" s="2" t="n">
        <v>-22.3333333333333</v>
      </c>
      <c r="G109" s="1" t="n">
        <v>11639</v>
      </c>
      <c r="H109" s="1" t="n">
        <v>4.04</v>
      </c>
      <c r="I109" s="12" t="n">
        <f aca="false">H109*3.6</f>
        <v>14.544</v>
      </c>
      <c r="J109" s="4" t="n">
        <f aca="false">LN(D109/1007.23)*(-8645.2)+105</f>
        <v>12982.3095744622</v>
      </c>
      <c r="K109" s="4" t="n">
        <f aca="false">45438.5*(1-(D109/1007.23)^0.1903)+105</f>
        <v>11320.3725073316</v>
      </c>
      <c r="L109" s="4" t="n">
        <f aca="false">105+29.271*(273.15+B109)*LN(1007.23/D109)</f>
        <v>10680.2082960247</v>
      </c>
      <c r="M109" s="3" t="n">
        <f aca="false">M108-0.016/40</f>
        <v>4.13320000000001</v>
      </c>
      <c r="N109" s="12" t="n">
        <f aca="false">E109*(-F109)</f>
        <v>92.1175555555555</v>
      </c>
    </row>
    <row r="110" customFormat="false" ht="12.8" hidden="false" customHeight="false" outlineLevel="0" collapsed="false">
      <c r="A110" s="13" t="n">
        <v>0.629861111111111</v>
      </c>
      <c r="B110" s="2" t="n">
        <v>-31.1833333333333</v>
      </c>
      <c r="C110" s="2" t="n">
        <v>4.18333333333333</v>
      </c>
      <c r="D110" s="2" t="n">
        <v>223.334753146176</v>
      </c>
      <c r="E110" s="3" t="n">
        <v>4.124</v>
      </c>
      <c r="F110" s="2" t="n">
        <v>-23.5</v>
      </c>
      <c r="G110" s="1" t="n">
        <v>11750</v>
      </c>
      <c r="H110" s="1" t="n">
        <v>3.95</v>
      </c>
      <c r="I110" s="12" t="n">
        <f aca="false">H110*3.6</f>
        <v>14.22</v>
      </c>
      <c r="J110" s="4" t="n">
        <f aca="false">LN(D110/1007.23)*(-8645.2)+105</f>
        <v>13127.1565805636</v>
      </c>
      <c r="K110" s="4" t="n">
        <f aca="false">45438.5*(1-(D110/1007.23)^0.1903)+105</f>
        <v>11429.3158741355</v>
      </c>
      <c r="L110" s="4" t="n">
        <f aca="false">105+29.271*(273.15+B110)*LN(1007.23/D110)</f>
        <v>10773.4412433589</v>
      </c>
      <c r="M110" s="3" t="n">
        <f aca="false">M109-0.016/40</f>
        <v>4.13280000000001</v>
      </c>
      <c r="N110" s="12" t="n">
        <f aca="false">E110*(-F110)</f>
        <v>96.914</v>
      </c>
    </row>
    <row r="111" customFormat="false" ht="12.8" hidden="false" customHeight="false" outlineLevel="0" collapsed="false">
      <c r="A111" s="14" t="n">
        <v>0.630208333333333</v>
      </c>
      <c r="B111" s="2" t="n">
        <v>-32.05</v>
      </c>
      <c r="C111" s="2" t="n">
        <v>3.68333333333333</v>
      </c>
      <c r="D111" s="2" t="n">
        <v>219.561342368506</v>
      </c>
      <c r="E111" s="3" t="n">
        <v>4.124</v>
      </c>
      <c r="F111" s="2" t="n">
        <v>-22.1666666666667</v>
      </c>
      <c r="G111" s="1" t="n">
        <v>11861</v>
      </c>
      <c r="H111" s="1" t="n">
        <v>4</v>
      </c>
      <c r="I111" s="12" t="n">
        <f aca="false">H111*3.6</f>
        <v>14.4</v>
      </c>
      <c r="J111" s="4" t="n">
        <f aca="false">LN(D111/1007.23)*(-8645.2)+105</f>
        <v>13274.4718562613</v>
      </c>
      <c r="K111" s="4" t="n">
        <f aca="false">45438.5*(1-(D111/1007.23)^0.1903)+105</f>
        <v>11539.7599828398</v>
      </c>
      <c r="L111" s="4" t="n">
        <f aca="false">105+29.271*(273.15+B111)*LN(1007.23/D111)</f>
        <v>10855.4856499428</v>
      </c>
      <c r="M111" s="3" t="n">
        <f aca="false">M110-0.016/40</f>
        <v>4.13240000000001</v>
      </c>
      <c r="N111" s="12" t="n">
        <f aca="false">E111*(-F111)</f>
        <v>91.4153333333335</v>
      </c>
    </row>
    <row r="112" customFormat="false" ht="12.8" hidden="false" customHeight="false" outlineLevel="0" collapsed="false">
      <c r="A112" s="13" t="n">
        <v>0.630555555555556</v>
      </c>
      <c r="B112" s="2" t="n">
        <v>-33.0333333333333</v>
      </c>
      <c r="C112" s="2" t="n">
        <v>3.18333333333333</v>
      </c>
      <c r="D112" s="2" t="n">
        <v>215.755953533398</v>
      </c>
      <c r="E112" s="3" t="n">
        <v>4.12333333333333</v>
      </c>
      <c r="F112" s="2" t="n">
        <v>-23.5</v>
      </c>
      <c r="G112" s="1" t="n">
        <v>11979</v>
      </c>
      <c r="H112" s="1" t="n">
        <v>4.04</v>
      </c>
      <c r="I112" s="12" t="n">
        <f aca="false">H112*3.6</f>
        <v>14.544</v>
      </c>
      <c r="J112" s="4" t="n">
        <f aca="false">LN(D112/1007.23)*(-8645.2)+105</f>
        <v>13425.6222281664</v>
      </c>
      <c r="K112" s="4" t="n">
        <f aca="false">45438.5*(1-(D112/1007.23)^0.1903)+105</f>
        <v>11652.70767683</v>
      </c>
      <c r="L112" s="4" t="n">
        <f aca="false">105+29.271*(273.15+B112)*LN(1007.23/D112)</f>
        <v>10934.5231153283</v>
      </c>
      <c r="M112" s="3" t="n">
        <f aca="false">M111-0.016/40</f>
        <v>4.13200000000001</v>
      </c>
      <c r="N112" s="12" t="n">
        <f aca="false">E112*(-F112)</f>
        <v>96.8983333333333</v>
      </c>
    </row>
    <row r="113" customFormat="false" ht="12.8" hidden="false" customHeight="false" outlineLevel="0" collapsed="false">
      <c r="A113" s="14" t="n">
        <v>0.630902777777778</v>
      </c>
      <c r="B113" s="2" t="n">
        <v>-33.3833333333333</v>
      </c>
      <c r="C113" s="2" t="n">
        <v>2.7</v>
      </c>
      <c r="D113" s="2" t="n">
        <v>211.95056469829</v>
      </c>
      <c r="E113" s="3" t="n">
        <v>4.122</v>
      </c>
      <c r="F113" s="2" t="n">
        <v>-23</v>
      </c>
      <c r="G113" s="1" t="n">
        <v>12091</v>
      </c>
      <c r="H113" s="1" t="n">
        <v>3.37</v>
      </c>
      <c r="I113" s="12" t="n">
        <f aca="false">H113*3.6</f>
        <v>12.132</v>
      </c>
      <c r="J113" s="4" t="n">
        <f aca="false">LN(D113/1007.23)*(-8645.2)+105</f>
        <v>13579.4623698288</v>
      </c>
      <c r="K113" s="4" t="n">
        <f aca="false">45438.5*(1-(D113/1007.23)^0.1903)+105</f>
        <v>11767.2800754009</v>
      </c>
      <c r="L113" s="4" t="n">
        <f aca="false">105+29.271*(273.15+B113)*LN(1007.23/D113)</f>
        <v>11043.625815019</v>
      </c>
      <c r="M113" s="3" t="n">
        <f aca="false">M112-0.016/40</f>
        <v>4.13160000000001</v>
      </c>
      <c r="N113" s="12" t="n">
        <f aca="false">E113*(-F113)</f>
        <v>94.806</v>
      </c>
    </row>
    <row r="114" customFormat="false" ht="12.8" hidden="false" customHeight="false" outlineLevel="0" collapsed="false">
      <c r="A114" s="13" t="n">
        <v>0.63125</v>
      </c>
      <c r="B114" s="2" t="n">
        <v>-33.6333333333333</v>
      </c>
      <c r="C114" s="2" t="n">
        <v>2.2</v>
      </c>
      <c r="D114" s="2" t="n">
        <v>208.17715392062</v>
      </c>
      <c r="E114" s="3" t="n">
        <v>4.12066666666667</v>
      </c>
      <c r="F114" s="2" t="n">
        <v>-23.1666666666667</v>
      </c>
      <c r="G114" s="1" t="n">
        <v>12197</v>
      </c>
      <c r="H114" s="1" t="n">
        <v>3.49</v>
      </c>
      <c r="I114" s="12" t="n">
        <f aca="false">H114*3.6</f>
        <v>12.564</v>
      </c>
      <c r="J114" s="4" t="n">
        <f aca="false">LN(D114/1007.23)*(-8645.2)+105</f>
        <v>13734.7616592649</v>
      </c>
      <c r="K114" s="4" t="n">
        <f aca="false">45438.5*(1-(D114/1007.23)^0.1903)+105</f>
        <v>11882.5463225477</v>
      </c>
      <c r="L114" s="4" t="n">
        <f aca="false">105+29.271*(273.15+B114)*LN(1007.23/D114)</f>
        <v>11158.1614941544</v>
      </c>
      <c r="M114" s="3" t="n">
        <f aca="false">M113-0.016/40</f>
        <v>4.13120000000001</v>
      </c>
      <c r="N114" s="12" t="n">
        <f aca="false">E114*(-F114)</f>
        <v>95.4621111111113</v>
      </c>
    </row>
    <row r="115" customFormat="false" ht="12.8" hidden="false" customHeight="false" outlineLevel="0" collapsed="false">
      <c r="A115" s="14" t="n">
        <v>0.631597222222222</v>
      </c>
      <c r="B115" s="2" t="n">
        <v>-33.9333333333333</v>
      </c>
      <c r="C115" s="2" t="n">
        <v>1.7</v>
      </c>
      <c r="D115" s="2" t="n">
        <v>204.531655372701</v>
      </c>
      <c r="E115" s="3" t="n">
        <v>4.12</v>
      </c>
      <c r="F115" s="2" t="n">
        <v>-22.5</v>
      </c>
      <c r="G115" s="1" t="n">
        <v>12309</v>
      </c>
      <c r="H115" s="1" t="n">
        <v>3.46</v>
      </c>
      <c r="I115" s="12" t="n">
        <f aca="false">H115*3.6</f>
        <v>12.456</v>
      </c>
      <c r="J115" s="4" t="n">
        <f aca="false">LN(D115/1007.23)*(-8645.2)+105</f>
        <v>13887.4934790928</v>
      </c>
      <c r="K115" s="4" t="n">
        <f aca="false">45438.5*(1-(D115/1007.23)^0.1903)+105</f>
        <v>11995.523273348</v>
      </c>
      <c r="L115" s="4" t="n">
        <f aca="false">105+29.271*(273.15+B115)*LN(1007.23/D115)</f>
        <v>11268.0210852853</v>
      </c>
      <c r="M115" s="3" t="n">
        <f aca="false">M114-0.016/40</f>
        <v>4.13080000000001</v>
      </c>
      <c r="N115" s="12" t="n">
        <f aca="false">E115*(-F115)</f>
        <v>92.7</v>
      </c>
    </row>
    <row r="116" customFormat="false" ht="12.8" hidden="false" customHeight="false" outlineLevel="0" collapsed="false">
      <c r="A116" s="13" t="n">
        <v>0.631944444444444</v>
      </c>
      <c r="B116" s="2" t="n">
        <v>-34.1166666666667</v>
      </c>
      <c r="C116" s="2" t="n">
        <v>1.2</v>
      </c>
      <c r="D116" s="2" t="n">
        <v>201.030058083253</v>
      </c>
      <c r="E116" s="3" t="n">
        <v>4.12</v>
      </c>
      <c r="F116" s="2" t="n">
        <v>-22.6666666666667</v>
      </c>
      <c r="G116" s="1" t="n">
        <v>12417</v>
      </c>
      <c r="H116" s="1" t="n">
        <v>3.88</v>
      </c>
      <c r="I116" s="12" t="n">
        <f aca="false">H116*3.6</f>
        <v>13.968</v>
      </c>
      <c r="J116" s="4" t="n">
        <f aca="false">LN(D116/1007.23)*(-8645.2)+105</f>
        <v>14036.7815411801</v>
      </c>
      <c r="K116" s="4" t="n">
        <f aca="false">45438.5*(1-(D116/1007.23)^0.1903)+105</f>
        <v>12105.5863811641</v>
      </c>
      <c r="L116" s="4" t="n">
        <f aca="false">105+29.271*(273.15+B116)*LN(1007.23/D116)</f>
        <v>11380.2878660771</v>
      </c>
      <c r="M116" s="3" t="n">
        <f aca="false">M115-0.016/40</f>
        <v>4.13040000000001</v>
      </c>
      <c r="N116" s="12" t="n">
        <f aca="false">E116*(-F116)</f>
        <v>93.3866666666668</v>
      </c>
    </row>
    <row r="117" customFormat="false" ht="12.8" hidden="false" customHeight="false" outlineLevel="0" collapsed="false">
      <c r="A117" s="14" t="n">
        <v>0.632291666666667</v>
      </c>
      <c r="B117" s="2" t="n">
        <v>-34.55</v>
      </c>
      <c r="C117" s="2" t="n">
        <v>0.7</v>
      </c>
      <c r="D117" s="2" t="n">
        <v>197.576427879961</v>
      </c>
      <c r="E117" s="3" t="n">
        <v>4.12</v>
      </c>
      <c r="F117" s="2" t="n">
        <v>-22.5</v>
      </c>
      <c r="G117" s="1" t="n">
        <v>12526</v>
      </c>
      <c r="H117" s="1" t="n">
        <v>3.68</v>
      </c>
      <c r="I117" s="12" t="n">
        <f aca="false">H117*3.6</f>
        <v>13.248</v>
      </c>
      <c r="J117" s="4" t="n">
        <f aca="false">LN(D117/1007.23)*(-8645.2)+105</f>
        <v>14186.5938098831</v>
      </c>
      <c r="K117" s="4" t="n">
        <f aca="false">45438.5*(1-(D117/1007.23)^0.1903)+105</f>
        <v>12215.6729678298</v>
      </c>
      <c r="L117" s="4" t="n">
        <f aca="false">105+29.271*(273.15+B117)*LN(1007.23/D117)</f>
        <v>11480.8738389868</v>
      </c>
      <c r="M117" s="3" t="n">
        <f aca="false">M116-0.016/40</f>
        <v>4.13000000000001</v>
      </c>
      <c r="N117" s="12" t="n">
        <f aca="false">E117*(-F117)</f>
        <v>92.7</v>
      </c>
    </row>
    <row r="118" customFormat="false" ht="12.8" hidden="false" customHeight="false" outlineLevel="0" collapsed="false">
      <c r="A118" s="13" t="n">
        <v>0.632638888888889</v>
      </c>
      <c r="B118" s="2" t="n">
        <v>-35.05</v>
      </c>
      <c r="C118" s="2" t="n">
        <v>0.2</v>
      </c>
      <c r="D118" s="2" t="n">
        <v>193.994885446918</v>
      </c>
      <c r="E118" s="3" t="n">
        <v>4.11866666666667</v>
      </c>
      <c r="F118" s="2" t="n">
        <v>-23.5</v>
      </c>
      <c r="G118" s="1" t="n">
        <v>12636</v>
      </c>
      <c r="H118" s="1" t="n">
        <v>3.37</v>
      </c>
      <c r="I118" s="12" t="n">
        <f aca="false">H118*3.6</f>
        <v>12.132</v>
      </c>
      <c r="J118" s="4" t="n">
        <f aca="false">LN(D118/1007.23)*(-8645.2)+105</f>
        <v>14344.7464277686</v>
      </c>
      <c r="K118" s="4" t="n">
        <f aca="false">45438.5*(1-(D118/1007.23)^0.1903)+105</f>
        <v>12331.4950569635</v>
      </c>
      <c r="L118" s="4" t="n">
        <f aca="false">105+29.271*(273.15+B118)*LN(1007.23/D118)</f>
        <v>11584.5315517658</v>
      </c>
      <c r="M118" s="3" t="n">
        <f aca="false">M117-0.016/40</f>
        <v>4.12960000000001</v>
      </c>
      <c r="N118" s="12" t="n">
        <f aca="false">E118*(-F118)</f>
        <v>96.7886666666667</v>
      </c>
    </row>
    <row r="119" customFormat="false" ht="12.8" hidden="false" customHeight="false" outlineLevel="0" collapsed="false">
      <c r="A119" s="14" t="n">
        <v>0.632986111111111</v>
      </c>
      <c r="B119" s="2" t="n">
        <v>-35.4833333333333</v>
      </c>
      <c r="C119" s="2" t="n">
        <v>-0.3</v>
      </c>
      <c r="D119" s="2" t="n">
        <v>190.605211358503</v>
      </c>
      <c r="E119" s="3" t="n">
        <v>4.116</v>
      </c>
      <c r="F119" s="2" t="n">
        <v>-23</v>
      </c>
      <c r="G119" s="1" t="n">
        <v>12747</v>
      </c>
      <c r="H119" s="1" t="n">
        <v>3.46</v>
      </c>
      <c r="I119" s="12" t="n">
        <f aca="false">H119*3.6</f>
        <v>12.456</v>
      </c>
      <c r="J119" s="4" t="n">
        <f aca="false">LN(D119/1007.23)*(-8645.2)+105</f>
        <v>14497.1393651374</v>
      </c>
      <c r="K119" s="4" t="n">
        <f aca="false">45438.5*(1-(D119/1007.23)^0.1903)+105</f>
        <v>12442.718275766</v>
      </c>
      <c r="L119" s="4" t="n">
        <f aca="false">105+29.271*(273.15+B119)*LN(1007.23/D119)</f>
        <v>11686.2689121322</v>
      </c>
      <c r="M119" s="3" t="n">
        <f aca="false">M118-0.016/40</f>
        <v>4.12920000000001</v>
      </c>
      <c r="N119" s="12" t="n">
        <f aca="false">E119*(-F119)</f>
        <v>94.668</v>
      </c>
    </row>
    <row r="120" customFormat="false" ht="12.8" hidden="false" customHeight="false" outlineLevel="0" collapsed="false">
      <c r="A120" s="13" t="n">
        <v>0.633333333333333</v>
      </c>
      <c r="B120" s="2" t="n">
        <v>-36.2333333333333</v>
      </c>
      <c r="C120" s="2" t="n">
        <v>-0.816666666666667</v>
      </c>
      <c r="D120" s="2" t="n">
        <v>187.231526298806</v>
      </c>
      <c r="E120" s="3" t="n">
        <v>4.11533333333333</v>
      </c>
      <c r="F120" s="2" t="n">
        <v>-23.3333333333333</v>
      </c>
      <c r="G120" s="1" t="n">
        <v>12859</v>
      </c>
      <c r="H120" s="1" t="n">
        <v>3.62</v>
      </c>
      <c r="I120" s="12" t="n">
        <f aca="false">H120*3.6</f>
        <v>13.032</v>
      </c>
      <c r="J120" s="4" t="n">
        <f aca="false">LN(D120/1007.23)*(-8645.2)+105</f>
        <v>14651.5285724883</v>
      </c>
      <c r="K120" s="4" t="n">
        <f aca="false">45438.5*(1-(D120/1007.23)^0.1903)+105</f>
        <v>12555.0186430655</v>
      </c>
      <c r="L120" s="4" t="n">
        <f aca="false">105+29.271*(273.15+B120)*LN(1007.23/D120)</f>
        <v>11773.5661580434</v>
      </c>
      <c r="M120" s="3" t="n">
        <f aca="false">M119-0.016/40</f>
        <v>4.12880000000001</v>
      </c>
      <c r="N120" s="12" t="n">
        <f aca="false">E120*(-F120)</f>
        <v>96.0244444444442</v>
      </c>
    </row>
    <row r="121" customFormat="false" ht="12.8" hidden="false" customHeight="false" outlineLevel="0" collapsed="false">
      <c r="A121" s="14" t="n">
        <v>0.633680555555556</v>
      </c>
      <c r="B121" s="2" t="n">
        <v>-37.05</v>
      </c>
      <c r="C121" s="2" t="n">
        <v>-1.31666666666667</v>
      </c>
      <c r="D121" s="2" t="n">
        <v>183.873830267828</v>
      </c>
      <c r="E121" s="3" t="n">
        <v>4.114</v>
      </c>
      <c r="F121" s="2" t="n">
        <v>-23.1666666666667</v>
      </c>
      <c r="G121" s="1" t="n">
        <v>12977</v>
      </c>
      <c r="H121" s="1" t="n">
        <v>4.2</v>
      </c>
      <c r="I121" s="12" t="n">
        <f aca="false">H121*3.6</f>
        <v>15.12</v>
      </c>
      <c r="J121" s="4" t="n">
        <f aca="false">LN(D121/1007.23)*(-8645.2)+105</f>
        <v>14807.9733413852</v>
      </c>
      <c r="K121" s="4" t="n">
        <f aca="false">45438.5*(1-(D121/1007.23)^0.1903)+105</f>
        <v>12668.4255584798</v>
      </c>
      <c r="L121" s="4" t="n">
        <f aca="false">105+29.271*(273.15+B121)*LN(1007.23/D121)</f>
        <v>11858.4041994089</v>
      </c>
      <c r="M121" s="3" t="n">
        <f aca="false">M120-0.016/40</f>
        <v>4.12840000000001</v>
      </c>
      <c r="N121" s="12" t="n">
        <f aca="false">E121*(-F121)</f>
        <v>95.3076666666668</v>
      </c>
    </row>
    <row r="122" customFormat="false" ht="12.8" hidden="false" customHeight="false" outlineLevel="0" collapsed="false">
      <c r="A122" s="13" t="n">
        <v>0.634027777777778</v>
      </c>
      <c r="B122" s="2" t="n">
        <v>-37.2333333333333</v>
      </c>
      <c r="C122" s="2" t="n">
        <v>-1.83333333333333</v>
      </c>
      <c r="D122" s="2" t="n">
        <v>180.580090351726</v>
      </c>
      <c r="E122" s="3" t="n">
        <v>4.112</v>
      </c>
      <c r="F122" s="2" t="n">
        <v>-23.3333333333333</v>
      </c>
      <c r="G122" s="1" t="n">
        <v>13101</v>
      </c>
      <c r="H122" s="1" t="n">
        <v>5.24</v>
      </c>
      <c r="I122" s="12" t="n">
        <f aca="false">H122*3.6</f>
        <v>18.864</v>
      </c>
      <c r="J122" s="4" t="n">
        <f aca="false">LN(D122/1007.23)*(-8645.2)+105</f>
        <v>14964.238997975</v>
      </c>
      <c r="K122" s="4" t="n">
        <f aca="false">45438.5*(1-(D122/1007.23)^0.1903)+105</f>
        <v>12781.3134367838</v>
      </c>
      <c r="L122" s="4" t="n">
        <f aca="false">105+29.271*(273.15+B122)*LN(1007.23/D122)</f>
        <v>11974.0977412633</v>
      </c>
      <c r="M122" s="3" t="n">
        <f aca="false">M121-0.016/40</f>
        <v>4.12800000000001</v>
      </c>
      <c r="N122" s="12" t="n">
        <f aca="false">E122*(-F122)</f>
        <v>95.9466666666665</v>
      </c>
    </row>
    <row r="123" customFormat="false" ht="12.8" hidden="false" customHeight="false" outlineLevel="0" collapsed="false">
      <c r="A123" s="14" t="n">
        <v>0.634375</v>
      </c>
      <c r="B123" s="2" t="n">
        <v>-37.5</v>
      </c>
      <c r="C123" s="2" t="n">
        <v>-2.33333333333333</v>
      </c>
      <c r="D123" s="2" t="n">
        <v>177.270361406905</v>
      </c>
      <c r="E123" s="3" t="n">
        <v>4.112</v>
      </c>
      <c r="F123" s="2" t="n">
        <v>-23.1666666666667</v>
      </c>
      <c r="G123" s="1" t="n">
        <v>13242</v>
      </c>
      <c r="H123" s="1" t="n">
        <v>4.48</v>
      </c>
      <c r="I123" s="12" t="n">
        <f aca="false">H123*3.6</f>
        <v>16.128</v>
      </c>
      <c r="J123" s="4" t="n">
        <f aca="false">LN(D123/1007.23)*(-8645.2)+105</f>
        <v>15124.1610238275</v>
      </c>
      <c r="K123" s="4" t="n">
        <f aca="false">45438.5*(1-(D123/1007.23)^0.1903)+105</f>
        <v>12896.441372986</v>
      </c>
      <c r="L123" s="4" t="n">
        <f aca="false">105+29.271*(273.15+B123)*LN(1007.23/D123)</f>
        <v>12088.2779412507</v>
      </c>
      <c r="M123" s="3" t="n">
        <f aca="false">M122-0.016/40</f>
        <v>4.12760000000001</v>
      </c>
      <c r="N123" s="12" t="n">
        <f aca="false">E123*(-F123)</f>
        <v>95.2613333333335</v>
      </c>
    </row>
    <row r="124" customFormat="false" ht="12.8" hidden="false" customHeight="false" outlineLevel="0" collapsed="false">
      <c r="A124" s="13" t="n">
        <v>0.634722222222222</v>
      </c>
      <c r="B124" s="2" t="n">
        <v>-38.0666666666667</v>
      </c>
      <c r="C124" s="2" t="n">
        <v>-2.83333333333333</v>
      </c>
      <c r="D124" s="2" t="n">
        <v>174.040577605679</v>
      </c>
      <c r="E124" s="3" t="n">
        <v>4.112</v>
      </c>
      <c r="F124" s="2" t="n">
        <v>-23.3333333333333</v>
      </c>
      <c r="G124" s="1" t="n">
        <v>13358</v>
      </c>
      <c r="H124" s="1" t="n">
        <v>4.13</v>
      </c>
      <c r="I124" s="12" t="n">
        <f aca="false">H124*3.6</f>
        <v>14.868</v>
      </c>
      <c r="J124" s="4" t="n">
        <f aca="false">LN(D124/1007.23)*(-8645.2)+105</f>
        <v>15283.1251238553</v>
      </c>
      <c r="K124" s="4" t="n">
        <f aca="false">45438.5*(1-(D124/1007.23)^0.1903)+105</f>
        <v>13010.4787576526</v>
      </c>
      <c r="L124" s="4" t="n">
        <f aca="false">105+29.271*(273.15+B124)*LN(1007.23/D124)</f>
        <v>12185.9888561623</v>
      </c>
      <c r="M124" s="3" t="n">
        <f aca="false">M123-0.016/40</f>
        <v>4.12720000000001</v>
      </c>
      <c r="N124" s="12" t="n">
        <f aca="false">E124*(-F124)</f>
        <v>95.9466666666665</v>
      </c>
    </row>
    <row r="125" customFormat="false" ht="12.8" hidden="false" customHeight="false" outlineLevel="0" collapsed="false">
      <c r="A125" s="14" t="n">
        <v>0.635069444444445</v>
      </c>
      <c r="B125" s="2" t="n">
        <v>-38.45</v>
      </c>
      <c r="C125" s="2" t="n">
        <v>-3.33333333333333</v>
      </c>
      <c r="D125" s="2" t="n">
        <v>170.55496934495</v>
      </c>
      <c r="E125" s="3" t="n">
        <v>4.10866666666667</v>
      </c>
      <c r="F125" s="2" t="n">
        <v>-23.3333333333333</v>
      </c>
      <c r="G125" s="1" t="n">
        <v>13476</v>
      </c>
      <c r="H125" s="1" t="n">
        <v>3.66</v>
      </c>
      <c r="I125" s="12" t="n">
        <f aca="false">H125*3.6</f>
        <v>13.176</v>
      </c>
      <c r="J125" s="4" t="n">
        <f aca="false">LN(D125/1007.23)*(-8645.2)+105</f>
        <v>15458.0247043896</v>
      </c>
      <c r="K125" s="4" t="n">
        <f aca="false">45438.5*(1-(D125/1007.23)^0.1903)+105</f>
        <v>13135.4877272051</v>
      </c>
      <c r="L125" s="4" t="n">
        <f aca="false">105+29.271*(273.15+B125)*LN(1007.23/D125)</f>
        <v>12305.2731253039</v>
      </c>
      <c r="M125" s="3" t="n">
        <f aca="false">M124-0.016/40</f>
        <v>4.12680000000001</v>
      </c>
      <c r="N125" s="12" t="n">
        <f aca="false">E125*(-F125)</f>
        <v>95.8688888888888</v>
      </c>
    </row>
    <row r="126" customFormat="false" ht="12.8" hidden="false" customHeight="false" outlineLevel="0" collapsed="false">
      <c r="A126" s="13" t="n">
        <v>0.635416666666667</v>
      </c>
      <c r="B126" s="2" t="n">
        <v>-39.0666666666667</v>
      </c>
      <c r="C126" s="2" t="n">
        <v>-3.81666666666667</v>
      </c>
      <c r="D126" s="2" t="n">
        <v>166.78155856728</v>
      </c>
      <c r="E126" s="3" t="n">
        <v>4.108</v>
      </c>
      <c r="F126" s="2" t="n">
        <v>-23.6666666666667</v>
      </c>
      <c r="G126" s="1" t="n">
        <v>13593</v>
      </c>
      <c r="H126" s="1" t="n">
        <v>3.74</v>
      </c>
      <c r="I126" s="12" t="n">
        <f aca="false">H126*3.6</f>
        <v>13.464</v>
      </c>
      <c r="J126" s="4" t="n">
        <f aca="false">LN(D126/1007.23)*(-8645.2)+105</f>
        <v>15651.4413601875</v>
      </c>
      <c r="K126" s="4" t="n">
        <f aca="false">45438.5*(1-(D126/1007.23)^0.1903)+105</f>
        <v>13273.1724724912</v>
      </c>
      <c r="L126" s="4" t="n">
        <f aca="false">105+29.271*(273.15+B126)*LN(1007.23/D126)</f>
        <v>12426.5119094683</v>
      </c>
      <c r="M126" s="3" t="n">
        <f aca="false">M125-0.016/40</f>
        <v>4.12640000000001</v>
      </c>
      <c r="N126" s="12" t="n">
        <f aca="false">E126*(-F126)</f>
        <v>97.2226666666668</v>
      </c>
    </row>
    <row r="127" customFormat="false" ht="12.8" hidden="false" customHeight="false" outlineLevel="0" collapsed="false">
      <c r="A127" s="14" t="n">
        <v>0.635763888888889</v>
      </c>
      <c r="B127" s="2" t="n">
        <v>-39.2</v>
      </c>
      <c r="C127" s="2" t="n">
        <v>-4.3</v>
      </c>
      <c r="D127" s="2" t="n">
        <v>163.631719909648</v>
      </c>
      <c r="E127" s="3" t="n">
        <v>4.108</v>
      </c>
      <c r="F127" s="2" t="n">
        <v>-23.5</v>
      </c>
      <c r="G127" s="1" t="n">
        <v>13703</v>
      </c>
      <c r="H127" s="1" t="n">
        <v>3.45</v>
      </c>
      <c r="I127" s="12" t="n">
        <f aca="false">H127*3.6</f>
        <v>12.42</v>
      </c>
      <c r="J127" s="4" t="n">
        <f aca="false">LN(D127/1007.23)*(-8645.2)+105</f>
        <v>15816.2762011968</v>
      </c>
      <c r="K127" s="4" t="n">
        <f aca="false">45438.5*(1-(D127/1007.23)^0.1903)+105</f>
        <v>13390.0493164769</v>
      </c>
      <c r="L127" s="4" t="n">
        <f aca="false">105+29.271*(273.15+B127)*LN(1007.23/D127)</f>
        <v>12550.0609508236</v>
      </c>
      <c r="M127" s="3" t="n">
        <f aca="false">M126-0.016/40</f>
        <v>4.12600000000001</v>
      </c>
      <c r="N127" s="12" t="n">
        <f aca="false">E127*(-F127)</f>
        <v>96.538</v>
      </c>
    </row>
    <row r="128" customFormat="false" ht="12.8" hidden="false" customHeight="false" outlineLevel="0" collapsed="false">
      <c r="A128" s="13" t="n">
        <v>0.636111111111111</v>
      </c>
      <c r="B128" s="2" t="n">
        <v>-39.3833333333333</v>
      </c>
      <c r="C128" s="2" t="n">
        <v>-4.8</v>
      </c>
      <c r="D128" s="2" t="n">
        <v>160.641771539206</v>
      </c>
      <c r="E128" s="3" t="n">
        <v>4.106</v>
      </c>
      <c r="F128" s="2" t="n">
        <v>-24</v>
      </c>
      <c r="G128" s="1" t="n">
        <v>13812</v>
      </c>
      <c r="H128" s="1" t="n">
        <v>3.26</v>
      </c>
      <c r="I128" s="12" t="n">
        <f aca="false">H128*3.6</f>
        <v>11.736</v>
      </c>
      <c r="J128" s="4" t="n">
        <f aca="false">LN(D128/1007.23)*(-8645.2)+105</f>
        <v>15975.7060337015</v>
      </c>
      <c r="K128" s="4" t="n">
        <f aca="false">45438.5*(1-(D128/1007.23)^0.1903)+105</f>
        <v>13502.6909880762</v>
      </c>
      <c r="L128" s="4" t="n">
        <f aca="false">105+29.271*(273.15+B128)*LN(1007.23/D128)</f>
        <v>12666.4954844283</v>
      </c>
      <c r="M128" s="3" t="n">
        <f aca="false">M127-0.016/40</f>
        <v>4.12560000000001</v>
      </c>
      <c r="N128" s="12" t="n">
        <f aca="false">E128*(-F128)</f>
        <v>98.544</v>
      </c>
    </row>
    <row r="129" customFormat="false" ht="12.8" hidden="false" customHeight="false" outlineLevel="0" collapsed="false">
      <c r="A129" s="14" t="n">
        <v>0.636458333333333</v>
      </c>
      <c r="B129" s="2" t="n">
        <v>-39.6833333333333</v>
      </c>
      <c r="C129" s="2" t="n">
        <v>-5.3</v>
      </c>
      <c r="D129" s="2" t="n">
        <v>157.779735398516</v>
      </c>
      <c r="E129" s="3" t="n">
        <v>4.104</v>
      </c>
      <c r="F129" s="2" t="n">
        <v>-23.8333333333333</v>
      </c>
      <c r="G129" s="1" t="n">
        <v>13922</v>
      </c>
      <c r="H129" s="1" t="n">
        <v>3.75</v>
      </c>
      <c r="I129" s="12" t="n">
        <f aca="false">H129*3.6</f>
        <v>13.5</v>
      </c>
      <c r="J129" s="4" t="n">
        <f aca="false">LN(D129/1007.23)*(-8645.2)+105</f>
        <v>16131.1197896421</v>
      </c>
      <c r="K129" s="4" t="n">
        <f aca="false">45438.5*(1-(D129/1007.23)^0.1903)+105</f>
        <v>13612.1153502703</v>
      </c>
      <c r="L129" s="4" t="n">
        <f aca="false">105+29.271*(273.15+B129)*LN(1007.23/D129)</f>
        <v>12773.2254073465</v>
      </c>
      <c r="M129" s="3" t="n">
        <f aca="false">M128-0.016/40</f>
        <v>4.12520000000001</v>
      </c>
      <c r="N129" s="12" t="n">
        <f aca="false">E129*(-F129)</f>
        <v>97.8119999999999</v>
      </c>
    </row>
    <row r="130" customFormat="false" ht="12.8" hidden="false" customHeight="false" outlineLevel="0" collapsed="false">
      <c r="A130" s="13" t="n">
        <v>0.636805555555556</v>
      </c>
      <c r="B130" s="2" t="n">
        <v>-39.8166666666667</v>
      </c>
      <c r="C130" s="2" t="n">
        <v>-5.78333333333333</v>
      </c>
      <c r="D130" s="2" t="n">
        <v>154.917699257825</v>
      </c>
      <c r="E130" s="3" t="n">
        <v>4.104</v>
      </c>
      <c r="F130" s="2" t="n">
        <v>-23.6666666666667</v>
      </c>
      <c r="G130" s="1" t="n">
        <v>14042</v>
      </c>
      <c r="H130" s="1" t="n">
        <v>4.37</v>
      </c>
      <c r="I130" s="12" t="n">
        <f aca="false">H130*3.6</f>
        <v>15.732</v>
      </c>
      <c r="J130" s="4" t="n">
        <f aca="false">LN(D130/1007.23)*(-8645.2)+105</f>
        <v>16289.378624287</v>
      </c>
      <c r="K130" s="4" t="n">
        <f aca="false">45438.5*(1-(D130/1007.23)^0.1903)+105</f>
        <v>13723.1588696731</v>
      </c>
      <c r="L130" s="4" t="n">
        <f aca="false">105+29.271*(273.15+B130)*LN(1007.23/D130)</f>
        <v>12891.0185497175</v>
      </c>
      <c r="M130" s="3" t="n">
        <f aca="false">M129-0.016/40</f>
        <v>4.12480000000001</v>
      </c>
      <c r="N130" s="12" t="n">
        <f aca="false">E130*(-F130)</f>
        <v>97.1280000000001</v>
      </c>
    </row>
    <row r="131" customFormat="false" ht="12.8" hidden="false" customHeight="false" outlineLevel="0" collapsed="false">
      <c r="A131" s="14" t="n">
        <v>0.637152777777778</v>
      </c>
      <c r="B131" s="2" t="n">
        <v>-40.2833333333333</v>
      </c>
      <c r="C131" s="2" t="n">
        <v>-6.28333333333333</v>
      </c>
      <c r="D131" s="2" t="n">
        <v>152.167586318167</v>
      </c>
      <c r="E131" s="3" t="n">
        <v>4.1</v>
      </c>
      <c r="F131" s="2" t="n">
        <v>-24.5</v>
      </c>
      <c r="G131" s="1" t="n">
        <v>14163</v>
      </c>
      <c r="H131" s="1" t="n">
        <v>4.01</v>
      </c>
      <c r="I131" s="12" t="n">
        <f aca="false">H131*3.6</f>
        <v>14.436</v>
      </c>
      <c r="J131" s="4" t="n">
        <f aca="false">LN(D131/1007.23)*(-8645.2)+105</f>
        <v>16444.2275417596</v>
      </c>
      <c r="K131" s="4" t="n">
        <f aca="false">45438.5*(1-(D131/1007.23)^0.1903)+105</f>
        <v>13831.4360150473</v>
      </c>
      <c r="L131" s="4" t="n">
        <f aca="false">105+29.271*(273.15+B131)*LN(1007.23/D131)</f>
        <v>12987.5359282711</v>
      </c>
      <c r="M131" s="3" t="n">
        <f aca="false">M130-0.016/40</f>
        <v>4.12440000000001</v>
      </c>
      <c r="N131" s="12" t="n">
        <f aca="false">E131*(-F131)</f>
        <v>100.45</v>
      </c>
    </row>
    <row r="132" customFormat="false" ht="12.8" hidden="false" customHeight="false" outlineLevel="0" collapsed="false">
      <c r="A132" s="13" t="n">
        <v>0.6375</v>
      </c>
      <c r="B132" s="2" t="n">
        <v>-40.8</v>
      </c>
      <c r="C132" s="2" t="n">
        <v>-6.76666666666667</v>
      </c>
      <c r="D132" s="2" t="n">
        <v>149.433462407228</v>
      </c>
      <c r="E132" s="3" t="n">
        <v>4.1</v>
      </c>
      <c r="F132" s="2" t="n">
        <v>-23.3333333333333</v>
      </c>
      <c r="G132" s="1" t="n">
        <v>14282</v>
      </c>
      <c r="H132" s="1" t="n">
        <v>3.37</v>
      </c>
      <c r="I132" s="12" t="n">
        <f aca="false">H132*3.6</f>
        <v>12.132</v>
      </c>
      <c r="J132" s="4" t="n">
        <f aca="false">LN(D132/1007.23)*(-8645.2)+105</f>
        <v>16600.9756410849</v>
      </c>
      <c r="K132" s="4" t="n">
        <f aca="false">45438.5*(1-(D132/1007.23)^0.1903)+105</f>
        <v>13940.665909118</v>
      </c>
      <c r="L132" s="4" t="n">
        <f aca="false">105+29.271*(273.15+B132)*LN(1007.23/D132)</f>
        <v>13082.265753224</v>
      </c>
      <c r="M132" s="3" t="n">
        <f aca="false">M131-0.016/40</f>
        <v>4.12400000000001</v>
      </c>
      <c r="N132" s="12" t="n">
        <f aca="false">E132*(-F132)</f>
        <v>95.6666666666665</v>
      </c>
    </row>
    <row r="133" customFormat="false" ht="12.8" hidden="false" customHeight="false" outlineLevel="0" collapsed="false">
      <c r="A133" s="14" t="n">
        <v>0.637847222222222</v>
      </c>
      <c r="B133" s="2" t="n">
        <v>-40.7666666666667</v>
      </c>
      <c r="C133" s="2" t="n">
        <v>-7.23333333333333</v>
      </c>
      <c r="D133" s="2" t="n">
        <v>146.491481122943</v>
      </c>
      <c r="E133" s="3" t="n">
        <v>4.1</v>
      </c>
      <c r="F133" s="2" t="n">
        <v>-24.1666666666667</v>
      </c>
      <c r="G133" s="1" t="n">
        <v>14394</v>
      </c>
      <c r="H133" s="1" t="n">
        <v>4.27</v>
      </c>
      <c r="I133" s="12" t="n">
        <f aca="false">H133*3.6</f>
        <v>15.372</v>
      </c>
      <c r="J133" s="4" t="n">
        <f aca="false">LN(D133/1007.23)*(-8645.2)+105</f>
        <v>16772.8763553689</v>
      </c>
      <c r="K133" s="4" t="n">
        <f aca="false">45438.5*(1-(D133/1007.23)^0.1903)+105</f>
        <v>14060.0224017393</v>
      </c>
      <c r="L133" s="4" t="n">
        <f aca="false">105+29.271*(273.15+B133)*LN(1007.23/D133)</f>
        <v>13219.3799543303</v>
      </c>
      <c r="M133" s="3" t="n">
        <f aca="false">M132-0.016/40</f>
        <v>4.12360000000001</v>
      </c>
      <c r="N133" s="12" t="n">
        <f aca="false">E133*(-F133)</f>
        <v>99.0833333333335</v>
      </c>
    </row>
    <row r="134" customFormat="false" ht="12.8" hidden="false" customHeight="false" outlineLevel="0" collapsed="false">
      <c r="A134" s="13" t="n">
        <v>0.638194444444444</v>
      </c>
      <c r="B134" s="2" t="n">
        <v>-40.5166666666667</v>
      </c>
      <c r="C134" s="2" t="n">
        <v>-7.71666666666667</v>
      </c>
      <c r="D134" s="2" t="n">
        <v>143.805324298161</v>
      </c>
      <c r="E134" s="3" t="n">
        <v>4.096</v>
      </c>
      <c r="F134" s="2" t="n">
        <v>-24.5</v>
      </c>
      <c r="G134" s="1" t="n">
        <v>14508</v>
      </c>
      <c r="H134" s="1" t="n">
        <v>3.59</v>
      </c>
      <c r="I134" s="12" t="n">
        <f aca="false">H134*3.6</f>
        <v>12.924</v>
      </c>
      <c r="J134" s="4" t="n">
        <f aca="false">LN(D134/1007.23)*(-8645.2)+105</f>
        <v>16932.8714042485</v>
      </c>
      <c r="K134" s="4" t="n">
        <f aca="false">45438.5*(1-(D134/1007.23)^0.1903)+105</f>
        <v>14170.7073203205</v>
      </c>
      <c r="L134" s="4" t="n">
        <f aca="false">105+29.271*(273.15+B134)*LN(1007.23/D134)</f>
        <v>13359.508960714</v>
      </c>
      <c r="M134" s="3" t="n">
        <f aca="false">M133-0.016/40</f>
        <v>4.12320000000001</v>
      </c>
      <c r="N134" s="12" t="n">
        <f aca="false">E134*(-F134)</f>
        <v>100.352</v>
      </c>
    </row>
    <row r="135" customFormat="false" ht="12.8" hidden="false" customHeight="false" outlineLevel="0" collapsed="false">
      <c r="A135" s="14" t="n">
        <v>0.638541666666667</v>
      </c>
      <c r="B135" s="2" t="n">
        <v>-40.7</v>
      </c>
      <c r="C135" s="2" t="n">
        <v>-8.2</v>
      </c>
      <c r="D135" s="2" t="n">
        <v>141.215101645692</v>
      </c>
      <c r="E135" s="3" t="n">
        <v>4.096</v>
      </c>
      <c r="F135" s="2" t="n">
        <v>-23.8333333333333</v>
      </c>
      <c r="G135" s="1" t="n">
        <v>14618</v>
      </c>
      <c r="H135" s="1" t="n">
        <v>4.33</v>
      </c>
      <c r="I135" s="12" t="n">
        <f aca="false">H135*3.6</f>
        <v>15.588</v>
      </c>
      <c r="J135" s="4" t="n">
        <f aca="false">LN(D135/1007.23)*(-8645.2)+105</f>
        <v>17090.0082782334</v>
      </c>
      <c r="K135" s="4" t="n">
        <f aca="false">45438.5*(1-(D135/1007.23)^0.1903)+105</f>
        <v>14279.0361749999</v>
      </c>
      <c r="L135" s="4" t="n">
        <f aca="false">105+29.271*(273.15+B135)*LN(1007.23/D135)</f>
        <v>13472.7350224649</v>
      </c>
      <c r="M135" s="3" t="n">
        <f aca="false">M134-0.016/40</f>
        <v>4.12280000000001</v>
      </c>
      <c r="N135" s="12" t="n">
        <f aca="false">E135*(-F135)</f>
        <v>97.6213333333332</v>
      </c>
    </row>
    <row r="136" customFormat="false" ht="12.8" hidden="false" customHeight="false" outlineLevel="0" collapsed="false">
      <c r="A136" s="13" t="n">
        <v>0.638888888888889</v>
      </c>
      <c r="B136" s="2" t="n">
        <v>-40.45</v>
      </c>
      <c r="C136" s="2" t="n">
        <v>-8.68333333333333</v>
      </c>
      <c r="D136" s="2" t="n">
        <v>138.624878993224</v>
      </c>
      <c r="E136" s="3" t="n">
        <v>4.09266666666667</v>
      </c>
      <c r="F136" s="2" t="n">
        <v>-24.5</v>
      </c>
      <c r="G136" s="1" t="n">
        <v>14728</v>
      </c>
      <c r="H136" s="1" t="n">
        <v>4.15</v>
      </c>
      <c r="I136" s="12" t="n">
        <f aca="false">H136*3.6</f>
        <v>14.94</v>
      </c>
      <c r="J136" s="4" t="n">
        <f aca="false">LN(D136/1007.23)*(-8645.2)+105</f>
        <v>17250.0542614002</v>
      </c>
      <c r="K136" s="4" t="n">
        <f aca="false">45438.5*(1-(D136/1007.23)^0.1903)+105</f>
        <v>14388.9860473242</v>
      </c>
      <c r="L136" s="4" t="n">
        <f aca="false">105+29.271*(273.15+B136)*LN(1007.23/D136)</f>
        <v>13613.2087100961</v>
      </c>
      <c r="M136" s="3" t="n">
        <f aca="false">M135-0.016/40</f>
        <v>4.12240000000001</v>
      </c>
      <c r="N136" s="12" t="n">
        <f aca="false">E136*(-F136)</f>
        <v>100.270333333333</v>
      </c>
    </row>
    <row r="137" customFormat="false" ht="12.8" hidden="false" customHeight="false" outlineLevel="0" collapsed="false">
      <c r="A137" s="14" t="n">
        <v>0.639236111111111</v>
      </c>
      <c r="B137" s="2" t="n">
        <v>-40.0833333333333</v>
      </c>
      <c r="C137" s="2" t="n">
        <v>-9.11666666666667</v>
      </c>
      <c r="D137" s="2" t="n">
        <v>136.066634398193</v>
      </c>
      <c r="E137" s="3" t="n">
        <v>4.092</v>
      </c>
      <c r="F137" s="2" t="n">
        <v>-23.6666666666667</v>
      </c>
      <c r="G137" s="1" t="n">
        <v>14843</v>
      </c>
      <c r="H137" s="1" t="n">
        <v>3.71</v>
      </c>
      <c r="I137" s="12" t="n">
        <f aca="false">H137*3.6</f>
        <v>13.356</v>
      </c>
      <c r="J137" s="4" t="n">
        <f aca="false">LN(D137/1007.23)*(-8645.2)+105</f>
        <v>17411.0870895208</v>
      </c>
      <c r="K137" s="4" t="n">
        <f aca="false">45438.5*(1-(D137/1007.23)^0.1903)+105</f>
        <v>14499.2236224961</v>
      </c>
      <c r="L137" s="4" t="n">
        <f aca="false">105+29.271*(273.15+B137)*LN(1007.23/D137)</f>
        <v>13761.5677855147</v>
      </c>
      <c r="M137" s="3" t="n">
        <f aca="false">M136-0.016/40</f>
        <v>4.12200000000001</v>
      </c>
      <c r="N137" s="12" t="n">
        <f aca="false">E137*(-F137)</f>
        <v>96.8440000000001</v>
      </c>
    </row>
    <row r="138" customFormat="false" ht="12.8" hidden="false" customHeight="false" outlineLevel="0" collapsed="false">
      <c r="A138" s="13" t="n">
        <v>0.639583333333333</v>
      </c>
      <c r="B138" s="2" t="n">
        <v>-40.05</v>
      </c>
      <c r="C138" s="2" t="n">
        <v>-9.6</v>
      </c>
      <c r="D138" s="2" t="n">
        <v>133.652291061633</v>
      </c>
      <c r="E138" s="3" t="n">
        <v>4.08866666666667</v>
      </c>
      <c r="F138" s="2" t="n">
        <v>-24.1666666666667</v>
      </c>
      <c r="G138" s="1" t="n">
        <v>14966</v>
      </c>
      <c r="H138" s="1" t="n">
        <v>4</v>
      </c>
      <c r="I138" s="12" t="n">
        <f aca="false">H138*3.6</f>
        <v>14.4</v>
      </c>
      <c r="J138" s="4" t="n">
        <f aca="false">LN(D138/1007.23)*(-8645.2)+105</f>
        <v>17565.8633143099</v>
      </c>
      <c r="K138" s="4" t="n">
        <f aca="false">45438.5*(1-(D138/1007.23)^0.1903)+105</f>
        <v>14604.810496044</v>
      </c>
      <c r="L138" s="4" t="n">
        <f aca="false">105+29.271*(273.15+B138)*LN(1007.23/D138)</f>
        <v>13885.6753342959</v>
      </c>
      <c r="M138" s="3" t="n">
        <f aca="false">M137-0.016/40</f>
        <v>4.12160000000001</v>
      </c>
      <c r="N138" s="12" t="n">
        <f aca="false">E138*(-F138)</f>
        <v>98.8094444444447</v>
      </c>
    </row>
    <row r="139" customFormat="false" ht="12.8" hidden="false" customHeight="false" outlineLevel="0" collapsed="false">
      <c r="A139" s="14" t="n">
        <v>0.639930555555556</v>
      </c>
      <c r="B139" s="2" t="n">
        <v>-39.9666666666667</v>
      </c>
      <c r="C139" s="2" t="n">
        <v>-10.0333333333333</v>
      </c>
      <c r="D139" s="2" t="n">
        <v>131.221958696354</v>
      </c>
      <c r="E139" s="3" t="n">
        <v>4.088</v>
      </c>
      <c r="F139" s="2" t="n">
        <v>-25</v>
      </c>
      <c r="G139" s="1" t="n">
        <v>15090</v>
      </c>
      <c r="H139" s="1" t="n">
        <v>3.92</v>
      </c>
      <c r="I139" s="12" t="n">
        <f aca="false">H139*3.6</f>
        <v>14.112</v>
      </c>
      <c r="J139" s="4" t="n">
        <f aca="false">LN(D139/1007.23)*(-8645.2)+105</f>
        <v>17724.514440511</v>
      </c>
      <c r="K139" s="4" t="n">
        <f aca="false">45438.5*(1-(D139/1007.23)^0.1903)+105</f>
        <v>14712.6680836165</v>
      </c>
      <c r="L139" s="4" t="n">
        <f aca="false">105+29.271*(273.15+B139)*LN(1007.23/D139)</f>
        <v>14015.8592694406</v>
      </c>
      <c r="M139" s="3" t="n">
        <f aca="false">M138-0.016/40</f>
        <v>4.12120000000001</v>
      </c>
      <c r="N139" s="12" t="n">
        <f aca="false">E139*(-F139)</f>
        <v>102.2</v>
      </c>
    </row>
    <row r="140" customFormat="false" ht="12.8" hidden="false" customHeight="false" outlineLevel="0" collapsed="false">
      <c r="A140" s="13" t="n">
        <v>0.640277777777778</v>
      </c>
      <c r="B140" s="2" t="n">
        <v>-39.7166666666667</v>
      </c>
      <c r="C140" s="2" t="n">
        <v>-10.5</v>
      </c>
      <c r="D140" s="2" t="n">
        <v>128.807615359794</v>
      </c>
      <c r="E140" s="3" t="n">
        <v>4.08533333333333</v>
      </c>
      <c r="F140" s="2" t="n">
        <v>-24.1666666666667</v>
      </c>
      <c r="G140" s="1" t="n">
        <v>15206</v>
      </c>
      <c r="H140" s="1" t="n">
        <v>3.98</v>
      </c>
      <c r="I140" s="12" t="n">
        <f aca="false">H140*3.6</f>
        <v>14.328</v>
      </c>
      <c r="J140" s="4" t="n">
        <f aca="false">LN(D140/1007.23)*(-8645.2)+105</f>
        <v>17885.0583395544</v>
      </c>
      <c r="K140" s="4" t="n">
        <f aca="false">45438.5*(1-(D140/1007.23)^0.1903)+105</f>
        <v>14821.4296958726</v>
      </c>
      <c r="L140" s="4" t="n">
        <f aca="false">105+29.271*(273.15+B140)*LN(1007.23/D140)</f>
        <v>14157.6609519835</v>
      </c>
      <c r="M140" s="3" t="n">
        <f aca="false">M139-0.016/40</f>
        <v>4.12080000000001</v>
      </c>
      <c r="N140" s="12" t="n">
        <f aca="false">E140*(-F140)</f>
        <v>98.728888888889</v>
      </c>
    </row>
    <row r="141" customFormat="false" ht="12.8" hidden="false" customHeight="false" outlineLevel="0" collapsed="false">
      <c r="A141" s="14" t="n">
        <v>0.640625</v>
      </c>
      <c r="B141" s="2" t="n">
        <v>-39.3833333333333</v>
      </c>
      <c r="C141" s="2" t="n">
        <v>-10.9333333333333</v>
      </c>
      <c r="D141" s="2" t="n">
        <v>126.377282994514</v>
      </c>
      <c r="E141" s="3" t="n">
        <v>4.084</v>
      </c>
      <c r="F141" s="2" t="n">
        <v>-24.3333333333333</v>
      </c>
      <c r="G141" s="1" t="n">
        <v>15319</v>
      </c>
      <c r="H141" s="1" t="n">
        <v>3.81</v>
      </c>
      <c r="I141" s="12" t="n">
        <f aca="false">H141*3.6</f>
        <v>13.716</v>
      </c>
      <c r="J141" s="4" t="n">
        <f aca="false">LN(D141/1007.23)*(-8645.2)+105</f>
        <v>18049.7337947151</v>
      </c>
      <c r="K141" s="4" t="n">
        <f aca="false">45438.5*(1-(D141/1007.23)^0.1903)+105</f>
        <v>14932.5916573962</v>
      </c>
      <c r="L141" s="4" t="n">
        <f aca="false">105+29.271*(273.15+B141)*LN(1007.23/D141)</f>
        <v>14308.0664579709</v>
      </c>
      <c r="M141" s="3" t="n">
        <f aca="false">M140-0.016/40</f>
        <v>4.12040000000001</v>
      </c>
      <c r="N141" s="12" t="n">
        <f aca="false">E141*(-F141)</f>
        <v>99.3773333333332</v>
      </c>
    </row>
    <row r="142" customFormat="false" ht="12.8" hidden="false" customHeight="false" outlineLevel="0" collapsed="false">
      <c r="A142" s="13" t="n">
        <v>0.640972222222222</v>
      </c>
      <c r="B142" s="2" t="n">
        <v>-39.1833333333333</v>
      </c>
      <c r="C142" s="2" t="n">
        <v>-11.35</v>
      </c>
      <c r="D142" s="2" t="n">
        <v>123.978928686673</v>
      </c>
      <c r="E142" s="3" t="n">
        <v>4.08133333333333</v>
      </c>
      <c r="F142" s="2" t="n">
        <v>-24.5</v>
      </c>
      <c r="G142" s="1" t="n">
        <v>15436</v>
      </c>
      <c r="H142" s="1" t="n">
        <v>4.38</v>
      </c>
      <c r="I142" s="12" t="n">
        <f aca="false">H142*3.6</f>
        <v>15.768</v>
      </c>
      <c r="J142" s="4" t="n">
        <f aca="false">LN(D142/1007.23)*(-8645.2)+105</f>
        <v>18215.3768744859</v>
      </c>
      <c r="K142" s="4" t="n">
        <f aca="false">45438.5*(1-(D142/1007.23)^0.1903)+105</f>
        <v>15044.0010333806</v>
      </c>
      <c r="L142" s="4" t="n">
        <f aca="false">105+29.271*(273.15+B142)*LN(1007.23/D142)</f>
        <v>14451.4348557192</v>
      </c>
      <c r="M142" s="3" t="n">
        <f aca="false">M141-0.016/40</f>
        <v>4.12000000000001</v>
      </c>
      <c r="N142" s="12" t="n">
        <f aca="false">E142*(-F142)</f>
        <v>99.9926666666666</v>
      </c>
    </row>
    <row r="143" customFormat="false" ht="12.8" hidden="false" customHeight="false" outlineLevel="0" collapsed="false">
      <c r="A143" s="14" t="n">
        <v>0.641319444444444</v>
      </c>
      <c r="B143" s="2" t="n">
        <v>-39.4</v>
      </c>
      <c r="C143" s="2" t="n">
        <v>-11.8</v>
      </c>
      <c r="D143" s="2" t="n">
        <v>121.724475637302</v>
      </c>
      <c r="E143" s="3" t="n">
        <v>4.08</v>
      </c>
      <c r="F143" s="2" t="n">
        <v>-24</v>
      </c>
      <c r="G143" s="1" t="n">
        <v>15543</v>
      </c>
      <c r="H143" s="1" t="n">
        <v>3.64</v>
      </c>
      <c r="I143" s="12" t="n">
        <f aca="false">H143*3.6</f>
        <v>13.104</v>
      </c>
      <c r="J143" s="4" t="n">
        <f aca="false">LN(D143/1007.23)*(-8645.2)+105</f>
        <v>18374.029495055</v>
      </c>
      <c r="K143" s="4" t="n">
        <f aca="false">45438.5*(1-(D143/1007.23)^0.1903)+105</f>
        <v>15150.3285270407</v>
      </c>
      <c r="L143" s="4" t="n">
        <f aca="false">105+29.271*(273.15+B143)*LN(1007.23/D143)</f>
        <v>14563.712140755</v>
      </c>
      <c r="M143" s="3" t="n">
        <f aca="false">M142-0.016/40</f>
        <v>4.11960000000001</v>
      </c>
      <c r="N143" s="12" t="n">
        <f aca="false">E143*(-F143)</f>
        <v>97.92</v>
      </c>
    </row>
    <row r="144" customFormat="false" ht="12.8" hidden="false" customHeight="false" outlineLevel="0" collapsed="false">
      <c r="A144" s="13" t="n">
        <v>0.641666666666667</v>
      </c>
      <c r="B144" s="2" t="n">
        <v>-39.8333333333333</v>
      </c>
      <c r="C144" s="2" t="n">
        <v>-12.2</v>
      </c>
      <c r="D144" s="2" t="n">
        <v>119.502000645369</v>
      </c>
      <c r="E144" s="3" t="n">
        <v>4.076</v>
      </c>
      <c r="F144" s="2" t="n">
        <v>-24.5</v>
      </c>
      <c r="G144" s="1" t="n">
        <v>15658</v>
      </c>
      <c r="H144" s="1" t="n">
        <v>4.02</v>
      </c>
      <c r="I144" s="12" t="n">
        <f aca="false">H144*3.6</f>
        <v>14.472</v>
      </c>
      <c r="J144" s="4" t="n">
        <f aca="false">LN(D144/1007.23)*(-8645.2)+105</f>
        <v>18533.3344334507</v>
      </c>
      <c r="K144" s="4" t="n">
        <f aca="false">45438.5*(1-(D144/1007.23)^0.1903)+105</f>
        <v>15256.7202310895</v>
      </c>
      <c r="L144" s="4" t="n">
        <f aca="false">105+29.271*(273.15+B144)*LN(1007.23/D144)</f>
        <v>14662.7535608282</v>
      </c>
      <c r="M144" s="3" t="n">
        <f aca="false">M143-0.016/40</f>
        <v>4.11920000000001</v>
      </c>
      <c r="N144" s="12" t="n">
        <f aca="false">E144*(-F144)</f>
        <v>99.862</v>
      </c>
    </row>
    <row r="145" customFormat="false" ht="12.8" hidden="false" customHeight="false" outlineLevel="0" collapsed="false">
      <c r="A145" s="14" t="n">
        <v>0.642013888888889</v>
      </c>
      <c r="B145" s="2" t="n">
        <v>-39.3166666666667</v>
      </c>
      <c r="C145" s="2" t="n">
        <v>-12.6333333333333</v>
      </c>
      <c r="D145" s="2" t="n">
        <v>117.311503710874</v>
      </c>
      <c r="E145" s="3" t="n">
        <v>4.07466666666667</v>
      </c>
      <c r="F145" s="2" t="n">
        <v>-25.5</v>
      </c>
      <c r="G145" s="1" t="n">
        <v>15767</v>
      </c>
      <c r="H145" s="1" t="n">
        <v>3.97</v>
      </c>
      <c r="I145" s="12" t="n">
        <f aca="false">H145*3.6</f>
        <v>14.292</v>
      </c>
      <c r="J145" s="4" t="n">
        <f aca="false">LN(D145/1007.23)*(-8645.2)+105</f>
        <v>18693.2731520693</v>
      </c>
      <c r="K145" s="4" t="n">
        <f aca="false">45438.5*(1-(D145/1007.23)^0.1903)+105</f>
        <v>15363.1605555816</v>
      </c>
      <c r="L145" s="4" t="n">
        <f aca="false">105+29.271*(273.15+B145)*LN(1007.23/D145)</f>
        <v>14821.6167900147</v>
      </c>
      <c r="M145" s="3" t="n">
        <f aca="false">M144-0.016/40</f>
        <v>4.11880000000001</v>
      </c>
      <c r="N145" s="12" t="n">
        <f aca="false">E145*(-F145)</f>
        <v>103.904</v>
      </c>
    </row>
    <row r="146" customFormat="false" ht="12.8" hidden="false" customHeight="false" outlineLevel="0" collapsed="false">
      <c r="A146" s="13" t="n">
        <v>0.642361111111111</v>
      </c>
      <c r="B146" s="2" t="n">
        <v>-38.3</v>
      </c>
      <c r="C146" s="2" t="n">
        <v>-13</v>
      </c>
      <c r="D146" s="2" t="n">
        <v>115.26490803485</v>
      </c>
      <c r="E146" s="3" t="n">
        <v>4.07266666666667</v>
      </c>
      <c r="F146" s="2" t="n">
        <v>-24.5</v>
      </c>
      <c r="G146" s="1" t="n">
        <v>15885</v>
      </c>
      <c r="H146" s="1" t="n">
        <v>4.03</v>
      </c>
      <c r="I146" s="12" t="n">
        <f aca="false">H146*3.6</f>
        <v>14.508</v>
      </c>
      <c r="J146" s="4" t="n">
        <f aca="false">LN(D146/1007.23)*(-8645.2)+105</f>
        <v>18845.426893833</v>
      </c>
      <c r="K146" s="4" t="n">
        <f aca="false">45438.5*(1-(D146/1007.23)^0.1903)+105</f>
        <v>15464.0726976637</v>
      </c>
      <c r="L146" s="4" t="n">
        <f aca="false">105+29.271*(273.15+B146)*LN(1007.23/D146)</f>
        <v>15006.5882469884</v>
      </c>
      <c r="M146" s="3" t="n">
        <f aca="false">M145-0.016/40</f>
        <v>4.11840000000001</v>
      </c>
      <c r="N146" s="12" t="n">
        <f aca="false">E146*(-F146)</f>
        <v>99.7803333333334</v>
      </c>
    </row>
    <row r="147" customFormat="false" ht="12.8" hidden="false" customHeight="false" outlineLevel="0" collapsed="false">
      <c r="A147" s="14" t="n">
        <v>0.642708333333333</v>
      </c>
      <c r="B147" s="2" t="n">
        <v>-38.45</v>
      </c>
      <c r="C147" s="2" t="n">
        <v>-13.4333333333333</v>
      </c>
      <c r="D147" s="2" t="n">
        <v>113.202323330106</v>
      </c>
      <c r="E147" s="3" t="n">
        <v>4.07</v>
      </c>
      <c r="F147" s="2" t="n">
        <v>-24</v>
      </c>
      <c r="G147" s="1" t="n">
        <v>16004</v>
      </c>
      <c r="H147" s="1" t="n">
        <v>3.89</v>
      </c>
      <c r="I147" s="12" t="n">
        <f aca="false">H147*3.6</f>
        <v>14.004</v>
      </c>
      <c r="J147" s="4" t="n">
        <f aca="false">LN(D147/1007.23)*(-8645.2)+105</f>
        <v>19001.5275446624</v>
      </c>
      <c r="K147" s="4" t="n">
        <f aca="false">45438.5*(1-(D147/1007.23)^0.1903)+105</f>
        <v>15567.2518819124</v>
      </c>
      <c r="L147" s="4" t="n">
        <f aca="false">105+29.271*(273.15+B147)*LN(1007.23/D147)</f>
        <v>15121.11582106</v>
      </c>
      <c r="M147" s="3" t="n">
        <f aca="false">M146-0.016/40</f>
        <v>4.11800000000001</v>
      </c>
      <c r="N147" s="12" t="n">
        <f aca="false">E147*(-F147)</f>
        <v>97.68</v>
      </c>
    </row>
    <row r="148" customFormat="false" ht="12.8" hidden="false" customHeight="false" outlineLevel="0" collapsed="false">
      <c r="A148" s="13" t="n">
        <v>0.643055555555556</v>
      </c>
      <c r="B148" s="2" t="n">
        <v>-38.4166666666667</v>
      </c>
      <c r="C148" s="2" t="n">
        <v>-13.8</v>
      </c>
      <c r="D148" s="2" t="n">
        <v>111.219683768958</v>
      </c>
      <c r="E148" s="3" t="n">
        <v>4.068</v>
      </c>
      <c r="F148" s="2" t="n">
        <v>-24</v>
      </c>
      <c r="G148" s="1" t="n">
        <v>16120</v>
      </c>
      <c r="H148" s="1" t="n">
        <v>4.6</v>
      </c>
      <c r="I148" s="12" t="n">
        <f aca="false">H148*3.6</f>
        <v>16.56</v>
      </c>
      <c r="J148" s="4" t="n">
        <f aca="false">LN(D148/1007.23)*(-8645.2)+105</f>
        <v>19154.2822739661</v>
      </c>
      <c r="K148" s="4" t="n">
        <f aca="false">45438.5*(1-(D148/1007.23)^0.1903)+105</f>
        <v>15667.876845628</v>
      </c>
      <c r="L148" s="4" t="n">
        <f aca="false">105+29.271*(273.15+B148)*LN(1007.23/D148)</f>
        <v>15244.6521955511</v>
      </c>
      <c r="M148" s="3" t="n">
        <f aca="false">M147-0.016/40</f>
        <v>4.11760000000001</v>
      </c>
      <c r="N148" s="12" t="n">
        <f aca="false">E148*(-F148)</f>
        <v>97.632</v>
      </c>
    </row>
    <row r="149" customFormat="false" ht="12.8" hidden="false" customHeight="false" outlineLevel="0" collapsed="false">
      <c r="A149" s="14" t="n">
        <v>0.643402777777778</v>
      </c>
      <c r="B149" s="2" t="n">
        <v>-38.0833333333333</v>
      </c>
      <c r="C149" s="2" t="n">
        <v>-14.1666666666667</v>
      </c>
      <c r="D149" s="2" t="n">
        <v>109.237044207809</v>
      </c>
      <c r="E149" s="3" t="n">
        <v>4.06533333333333</v>
      </c>
      <c r="F149" s="2" t="n">
        <v>-24.1666666666667</v>
      </c>
      <c r="G149" s="1" t="n">
        <v>16242</v>
      </c>
      <c r="H149" s="1" t="n">
        <v>3.46</v>
      </c>
      <c r="I149" s="12" t="n">
        <f aca="false">H149*3.6</f>
        <v>12.456</v>
      </c>
      <c r="J149" s="4" t="n">
        <f aca="false">LN(D149/1007.23)*(-8645.2)+105</f>
        <v>19309.784696744</v>
      </c>
      <c r="K149" s="4" t="n">
        <f aca="false">45438.5*(1-(D149/1007.23)^0.1903)+105</f>
        <v>15769.9648709358</v>
      </c>
      <c r="L149" s="4" t="n">
        <f aca="false">105+29.271*(273.15+B149)*LN(1007.23/D149)</f>
        <v>15389.9142458913</v>
      </c>
      <c r="M149" s="3" t="n">
        <f aca="false">M148-0.016/40</f>
        <v>4.11720000000001</v>
      </c>
      <c r="N149" s="12" t="n">
        <f aca="false">E149*(-F149)</f>
        <v>98.2455555555556</v>
      </c>
    </row>
    <row r="150" customFormat="false" ht="12.8" hidden="false" customHeight="false" outlineLevel="0" collapsed="false">
      <c r="A150" s="13" t="n">
        <v>0.64375</v>
      </c>
      <c r="B150" s="2" t="n">
        <v>-37.9666666666667</v>
      </c>
      <c r="C150" s="2" t="n">
        <v>-14.55</v>
      </c>
      <c r="D150" s="2" t="n">
        <v>107.25440464666</v>
      </c>
      <c r="E150" s="3" t="n">
        <v>4.064</v>
      </c>
      <c r="F150" s="2" t="n">
        <v>-25.5</v>
      </c>
      <c r="G150" s="1" t="n">
        <v>16363</v>
      </c>
      <c r="H150" s="1" t="n">
        <v>4.22</v>
      </c>
      <c r="I150" s="12" t="n">
        <f aca="false">H150*3.6</f>
        <v>15.192</v>
      </c>
      <c r="J150" s="4" t="n">
        <f aca="false">LN(D150/1007.23)*(-8645.2)+105</f>
        <v>19468.1354753478</v>
      </c>
      <c r="K150" s="4" t="n">
        <f aca="false">45438.5*(1-(D150/1007.23)^0.1903)+105</f>
        <v>15873.5643734905</v>
      </c>
      <c r="L150" s="4" t="n">
        <f aca="false">105+29.271*(273.15+B150)*LN(1007.23/D150)</f>
        <v>15523.5928502869</v>
      </c>
      <c r="M150" s="3" t="n">
        <f aca="false">M149-0.016/40</f>
        <v>4.11680000000001</v>
      </c>
      <c r="N150" s="12" t="n">
        <f aca="false">E150*(-F150)</f>
        <v>103.632</v>
      </c>
    </row>
    <row r="151" customFormat="false" ht="12.8" hidden="false" customHeight="false" outlineLevel="0" collapsed="false">
      <c r="A151" s="14" t="n">
        <v>0.644097222222222</v>
      </c>
      <c r="B151" s="2" t="n">
        <v>-38.2666666666667</v>
      </c>
      <c r="C151" s="2" t="n">
        <v>-14.9333333333333</v>
      </c>
      <c r="D151" s="2" t="n">
        <v>105.28775411423</v>
      </c>
      <c r="E151" s="3" t="n">
        <v>4.06133333333333</v>
      </c>
      <c r="F151" s="2" t="n">
        <v>-25</v>
      </c>
      <c r="G151" s="1" t="n">
        <v>16487</v>
      </c>
      <c r="H151" s="1" t="n">
        <v>4.32</v>
      </c>
      <c r="I151" s="12" t="n">
        <f aca="false">H151*3.6</f>
        <v>15.552</v>
      </c>
      <c r="J151" s="4" t="n">
        <f aca="false">LN(D151/1007.23)*(-8645.2)+105</f>
        <v>19628.1279449292</v>
      </c>
      <c r="K151" s="4" t="n">
        <f aca="false">45438.5*(1-(D151/1007.23)^0.1903)+105</f>
        <v>15977.8718328582</v>
      </c>
      <c r="L151" s="4" t="n">
        <f aca="false">105+29.271*(273.15+B151)*LN(1007.23/D151)</f>
        <v>15631.1621295158</v>
      </c>
      <c r="M151" s="3" t="n">
        <f aca="false">M150-0.016/40</f>
        <v>4.11640000000001</v>
      </c>
      <c r="N151" s="12" t="n">
        <f aca="false">E151*(-F151)</f>
        <v>101.533333333333</v>
      </c>
    </row>
    <row r="152" customFormat="false" ht="12.8" hidden="false" customHeight="false" outlineLevel="0" collapsed="false">
      <c r="A152" s="13" t="n">
        <v>0.644444444444445</v>
      </c>
      <c r="B152" s="2" t="n">
        <v>-38.4333333333333</v>
      </c>
      <c r="C152" s="2" t="n">
        <v>-15.3</v>
      </c>
      <c r="D152" s="2" t="n">
        <v>103.209180380768</v>
      </c>
      <c r="E152" s="3" t="n">
        <v>4.058</v>
      </c>
      <c r="F152" s="2" t="n">
        <v>-24.6666666666667</v>
      </c>
      <c r="G152" s="1" t="n">
        <v>16620</v>
      </c>
      <c r="H152" s="1" t="n">
        <v>4.19</v>
      </c>
      <c r="I152" s="12" t="n">
        <f aca="false">H152*3.6</f>
        <v>15.084</v>
      </c>
      <c r="J152" s="4" t="n">
        <f aca="false">LN(D152/1007.23)*(-8645.2)+105</f>
        <v>19800.5072754928</v>
      </c>
      <c r="K152" s="4" t="n">
        <f aca="false">45438.5*(1-(D152/1007.23)^0.1903)+105</f>
        <v>16089.8445842918</v>
      </c>
      <c r="L152" s="4" t="n">
        <f aca="false">105+29.271*(273.15+B152)*LN(1007.23/D152)</f>
        <v>15757.1360707108</v>
      </c>
      <c r="M152" s="3" t="n">
        <f aca="false">M151-0.016/40</f>
        <v>4.11600000000001</v>
      </c>
      <c r="N152" s="12" t="n">
        <f aca="false">E152*(-F152)</f>
        <v>100.097333333333</v>
      </c>
    </row>
    <row r="153" customFormat="false" ht="12.8" hidden="false" customHeight="false" outlineLevel="0" collapsed="false">
      <c r="A153" s="14" t="n">
        <v>0.644791666666667</v>
      </c>
      <c r="B153" s="2" t="n">
        <v>-38.0666666666667</v>
      </c>
      <c r="C153" s="2" t="n">
        <v>-15.65</v>
      </c>
      <c r="D153" s="2" t="n">
        <v>101.2105517909</v>
      </c>
      <c r="E153" s="3" t="n">
        <v>4.056</v>
      </c>
      <c r="F153" s="2" t="n">
        <v>-24.8333333333333</v>
      </c>
      <c r="G153" s="1" t="n">
        <v>16749</v>
      </c>
      <c r="H153" s="1" t="n">
        <v>4.39</v>
      </c>
      <c r="I153" s="12" t="n">
        <f aca="false">H153*3.6</f>
        <v>15.804</v>
      </c>
      <c r="J153" s="4" t="n">
        <f aca="false">LN(D153/1007.23)*(-8645.2)+105</f>
        <v>19969.5623299425</v>
      </c>
      <c r="K153" s="4" t="n">
        <f aca="false">45438.5*(1-(D153/1007.23)^0.1903)+105</f>
        <v>16199.2460878548</v>
      </c>
      <c r="L153" s="4" t="n">
        <f aca="false">105+29.271*(273.15+B153)*LN(1007.23/D153)</f>
        <v>15916.1462504284</v>
      </c>
      <c r="M153" s="3" t="n">
        <f aca="false">M152-0.016/40</f>
        <v>4.11560000000001</v>
      </c>
      <c r="N153" s="12" t="n">
        <f aca="false">E153*(-F153)</f>
        <v>100.724</v>
      </c>
    </row>
    <row r="154" customFormat="false" ht="12.8" hidden="false" customHeight="false" outlineLevel="0" collapsed="false">
      <c r="A154" s="13" t="n">
        <v>0.645138888888889</v>
      </c>
      <c r="B154" s="2" t="n">
        <v>-37.8</v>
      </c>
      <c r="C154" s="2" t="n">
        <v>-16</v>
      </c>
      <c r="D154" s="2" t="n">
        <v>99.2279122297515</v>
      </c>
      <c r="E154" s="3" t="n">
        <v>4.052</v>
      </c>
      <c r="F154" s="2" t="n">
        <v>-24.6666666666667</v>
      </c>
      <c r="G154" s="1" t="n">
        <v>16867</v>
      </c>
      <c r="H154" s="1" t="n">
        <v>4.13</v>
      </c>
      <c r="I154" s="12" t="n">
        <f aca="false">H154*3.6</f>
        <v>14.868</v>
      </c>
      <c r="J154" s="4" t="n">
        <f aca="false">LN(D154/1007.23)*(-8645.2)+105</f>
        <v>20140.5961149495</v>
      </c>
      <c r="K154" s="4" t="n">
        <f aca="false">45438.5*(1-(D154/1007.23)^0.1903)+105</f>
        <v>16309.5145850398</v>
      </c>
      <c r="L154" s="4" t="n">
        <f aca="false">105+29.271*(273.15+B154)*LN(1007.23/D154)</f>
        <v>16070.3699323115</v>
      </c>
      <c r="M154" s="3" t="n">
        <f aca="false">M153-0.016/40</f>
        <v>4.11520000000001</v>
      </c>
      <c r="N154" s="12" t="n">
        <f aca="false">E154*(-F154)</f>
        <v>99.9493333333335</v>
      </c>
    </row>
    <row r="155" customFormat="false" ht="12.8" hidden="false" customHeight="false" outlineLevel="0" collapsed="false">
      <c r="A155" s="14" t="n">
        <v>0.645486111111111</v>
      </c>
      <c r="B155" s="2" t="n">
        <v>-37.5166666666667</v>
      </c>
      <c r="C155" s="2" t="n">
        <v>-16.35</v>
      </c>
      <c r="D155" s="2" t="n">
        <v>97.2612616973217</v>
      </c>
      <c r="E155" s="3" t="n">
        <v>4.052</v>
      </c>
      <c r="F155" s="2" t="n">
        <v>-24.8333333333333</v>
      </c>
      <c r="G155" s="1" t="n">
        <v>16984</v>
      </c>
      <c r="H155" s="1" t="n">
        <v>4.46</v>
      </c>
      <c r="I155" s="12" t="n">
        <f aca="false">H155*3.6</f>
        <v>16.056</v>
      </c>
      <c r="J155" s="4" t="n">
        <f aca="false">LN(D155/1007.23)*(-8645.2)+105</f>
        <v>20313.6606622581</v>
      </c>
      <c r="K155" s="4" t="n">
        <f aca="false">45438.5*(1-(D155/1007.23)^0.1903)+105</f>
        <v>16420.6705857759</v>
      </c>
      <c r="L155" s="4" t="n">
        <f aca="false">105+29.271*(273.15+B155)*LN(1007.23/D155)</f>
        <v>16227.662885939</v>
      </c>
      <c r="M155" s="3" t="n">
        <f aca="false">M154-0.016/40</f>
        <v>4.11480000000001</v>
      </c>
      <c r="N155" s="12" t="n">
        <f aca="false">E155*(-F155)</f>
        <v>100.624666666667</v>
      </c>
    </row>
    <row r="156" customFormat="false" ht="12.8" hidden="false" customHeight="false" outlineLevel="0" collapsed="false">
      <c r="A156" s="13" t="n">
        <v>0.645833333333333</v>
      </c>
      <c r="B156" s="2" t="n">
        <v>-37.45</v>
      </c>
      <c r="C156" s="2" t="n">
        <v>-16.6666666666667</v>
      </c>
      <c r="D156" s="2" t="n">
        <v>95.3905453372056</v>
      </c>
      <c r="E156" s="3" t="n">
        <v>4.048</v>
      </c>
      <c r="F156" s="2" t="n">
        <v>-24.6666666666667</v>
      </c>
      <c r="G156" s="1" t="n">
        <v>17107</v>
      </c>
      <c r="H156" s="1" t="n">
        <v>4.17</v>
      </c>
      <c r="I156" s="12" t="n">
        <f aca="false">H156*3.6</f>
        <v>15.012</v>
      </c>
      <c r="J156" s="4" t="n">
        <f aca="false">LN(D156/1007.23)*(-8645.2)+105</f>
        <v>20481.5617649517</v>
      </c>
      <c r="K156" s="4" t="n">
        <f aca="false">45438.5*(1-(D156/1007.23)^0.1903)+105</f>
        <v>16528.1062705597</v>
      </c>
      <c r="L156" s="4" t="n">
        <f aca="false">105+29.271*(273.15+B156)*LN(1007.23/D156)</f>
        <v>16366.2154029684</v>
      </c>
      <c r="M156" s="3" t="n">
        <f aca="false">M155-0.016/40</f>
        <v>4.11440000000001</v>
      </c>
      <c r="N156" s="12" t="n">
        <f aca="false">E156*(-F156)</f>
        <v>99.8506666666668</v>
      </c>
    </row>
    <row r="157" customFormat="false" ht="12.8" hidden="false" customHeight="false" outlineLevel="0" collapsed="false">
      <c r="A157" s="13" t="n">
        <v>0.646180555555556</v>
      </c>
      <c r="B157" s="2" t="n">
        <v>-37.45</v>
      </c>
      <c r="C157" s="2" t="n">
        <v>-17</v>
      </c>
      <c r="D157" s="2" t="n">
        <v>93.5837850919652</v>
      </c>
      <c r="E157" s="3" t="n">
        <v>4.04466666666667</v>
      </c>
      <c r="F157" s="2" t="n">
        <v>-24.6666666666667</v>
      </c>
      <c r="G157" s="1" t="n">
        <v>17226</v>
      </c>
      <c r="H157" s="1" t="n">
        <v>4.43</v>
      </c>
      <c r="I157" s="12" t="n">
        <f aca="false">H157*3.6</f>
        <v>15.948</v>
      </c>
      <c r="J157" s="4" t="n">
        <f aca="false">LN(D157/1007.23)*(-8645.2)+105</f>
        <v>20646.878182267</v>
      </c>
      <c r="K157" s="4" t="n">
        <f aca="false">45438.5*(1-(D157/1007.23)^0.1903)+105</f>
        <v>16633.5008418299</v>
      </c>
      <c r="L157" s="4" t="n">
        <f aca="false">105+29.271*(273.15+B157)*LN(1007.23/D157)</f>
        <v>16498.1437382106</v>
      </c>
      <c r="M157" s="3" t="n">
        <f aca="false">M156-0.016/40</f>
        <v>4.11400000000001</v>
      </c>
      <c r="N157" s="12" t="n">
        <f aca="false">E157*(-F157)</f>
        <v>99.7684444444447</v>
      </c>
    </row>
    <row r="158" customFormat="false" ht="12.8" hidden="false" customHeight="false" outlineLevel="0" collapsed="false">
      <c r="A158" s="14" t="n">
        <v>0.646527777777778</v>
      </c>
      <c r="B158" s="2" t="n">
        <v>-37.35</v>
      </c>
      <c r="C158" s="2" t="n">
        <v>-17.35</v>
      </c>
      <c r="D158" s="2" t="n">
        <v>91.8249919328816</v>
      </c>
      <c r="E158" s="3" t="n">
        <v>4.04333333333333</v>
      </c>
      <c r="F158" s="2" t="n">
        <v>-25</v>
      </c>
      <c r="G158" s="1" t="n">
        <v>17354</v>
      </c>
      <c r="H158" s="1" t="n">
        <v>4.51</v>
      </c>
      <c r="I158" s="12" t="n">
        <f aca="false">H158*3.6</f>
        <v>16.236</v>
      </c>
      <c r="J158" s="4" t="n">
        <f aca="false">LN(D158/1007.23)*(-8645.2)+105</f>
        <v>20810.9003495434</v>
      </c>
      <c r="K158" s="4" t="n">
        <f aca="false">45438.5*(1-(D158/1007.23)^0.1903)+105</f>
        <v>16737.6919353873</v>
      </c>
      <c r="L158" s="4" t="n">
        <f aca="false">105+29.271*(273.15+B158)*LN(1007.23/D158)</f>
        <v>16636.0498395878</v>
      </c>
      <c r="M158" s="3" t="n">
        <f aca="false">M157-0.016/40</f>
        <v>4.11360000000001</v>
      </c>
      <c r="N158" s="12" t="n">
        <f aca="false">E158*(-F158)</f>
        <v>101.083333333333</v>
      </c>
    </row>
    <row r="159" customFormat="false" ht="12.8" hidden="false" customHeight="false" outlineLevel="0" collapsed="false">
      <c r="A159" s="13" t="n">
        <v>0.646875</v>
      </c>
      <c r="B159" s="2" t="n">
        <v>-37.4333333333333</v>
      </c>
      <c r="C159" s="2" t="n">
        <v>-17.65</v>
      </c>
      <c r="D159" s="2" t="n">
        <v>90.0342207163601</v>
      </c>
      <c r="E159" s="3" t="n">
        <v>4.04</v>
      </c>
      <c r="F159" s="2" t="n">
        <v>-25</v>
      </c>
      <c r="G159" s="1" t="n">
        <v>17487</v>
      </c>
      <c r="H159" s="1" t="n">
        <v>4.19</v>
      </c>
      <c r="I159" s="12" t="n">
        <f aca="false">H159*3.6</f>
        <v>15.084</v>
      </c>
      <c r="J159" s="4" t="n">
        <f aca="false">LN(D159/1007.23)*(-8645.2)+105</f>
        <v>20981.1647591242</v>
      </c>
      <c r="K159" s="4" t="n">
        <f aca="false">45438.5*(1-(D159/1007.23)^0.1903)+105</f>
        <v>16845.4510691541</v>
      </c>
      <c r="L159" s="4" t="n">
        <f aca="false">105+29.271*(273.15+B159)*LN(1007.23/D159)</f>
        <v>16766.0942692082</v>
      </c>
      <c r="M159" s="3" t="n">
        <f aca="false">M158-0.016/40</f>
        <v>4.11320000000001</v>
      </c>
      <c r="N159" s="12" t="n">
        <f aca="false">E159*(-F159)</f>
        <v>101</v>
      </c>
    </row>
    <row r="160" customFormat="false" ht="12.8" hidden="false" customHeight="false" outlineLevel="0" collapsed="false">
      <c r="A160" s="14" t="n">
        <v>0.647222222222222</v>
      </c>
      <c r="B160" s="2" t="n">
        <v>-37.4666666666667</v>
      </c>
      <c r="C160" s="2" t="n">
        <v>-18</v>
      </c>
      <c r="D160" s="2" t="n">
        <v>88.3074056147144</v>
      </c>
      <c r="E160" s="3" t="n">
        <v>4.03666666666667</v>
      </c>
      <c r="F160" s="2" t="n">
        <v>-24.3333333333333</v>
      </c>
      <c r="G160" s="1" t="n">
        <v>17609</v>
      </c>
      <c r="H160" s="1" t="n">
        <v>4.16</v>
      </c>
      <c r="I160" s="12" t="n">
        <f aca="false">H160*3.6</f>
        <v>14.976</v>
      </c>
      <c r="J160" s="4" t="n">
        <f aca="false">LN(D160/1007.23)*(-8645.2)+105</f>
        <v>21148.5864518257</v>
      </c>
      <c r="K160" s="4" t="n">
        <f aca="false">45438.5*(1-(D160/1007.23)^0.1903)+105</f>
        <v>16951.0179845594</v>
      </c>
      <c r="L160" s="4" t="n">
        <f aca="false">105+29.271*(273.15+B160)*LN(1007.23/D160)</f>
        <v>16897.3371503317</v>
      </c>
      <c r="M160" s="3" t="n">
        <f aca="false">M159-0.016/40</f>
        <v>4.11280000000001</v>
      </c>
      <c r="N160" s="12" t="n">
        <f aca="false">E160*(-F160)</f>
        <v>98.2255555555555</v>
      </c>
    </row>
    <row r="161" customFormat="false" ht="12.8" hidden="false" customHeight="false" outlineLevel="0" collapsed="false">
      <c r="A161" s="13" t="n">
        <v>0.647569444444444</v>
      </c>
      <c r="B161" s="2" t="n">
        <v>-37.1166666666667</v>
      </c>
      <c r="C161" s="2" t="n">
        <v>-18.3</v>
      </c>
      <c r="D161" s="2" t="n">
        <v>86.5805905130687</v>
      </c>
      <c r="E161" s="3" t="n">
        <v>4.036</v>
      </c>
      <c r="F161" s="2" t="n">
        <v>-25.1666666666667</v>
      </c>
      <c r="G161" s="1" t="n">
        <v>17733</v>
      </c>
      <c r="H161" s="1" t="n">
        <v>4.07</v>
      </c>
      <c r="I161" s="12" t="n">
        <f aca="false">H161*3.6</f>
        <v>14.652</v>
      </c>
      <c r="J161" s="4" t="n">
        <f aca="false">LN(D161/1007.23)*(-8645.2)+105</f>
        <v>21319.3145454672</v>
      </c>
      <c r="K161" s="4" t="n">
        <f aca="false">45438.5*(1-(D161/1007.23)^0.1903)+105</f>
        <v>17058.2698327704</v>
      </c>
      <c r="L161" s="4" t="n">
        <f aca="false">105+29.271*(273.15+B161)*LN(1007.23/D161)</f>
        <v>17058.7142295088</v>
      </c>
      <c r="M161" s="3" t="n">
        <f aca="false">M160-0.016/40</f>
        <v>4.11240000000001</v>
      </c>
      <c r="N161" s="12" t="n">
        <f aca="false">E161*(-F161)</f>
        <v>101.572666666667</v>
      </c>
    </row>
    <row r="162" customFormat="false" ht="12.8" hidden="false" customHeight="false" outlineLevel="0" collapsed="false">
      <c r="A162" s="14" t="n">
        <v>0.647916666666667</v>
      </c>
      <c r="B162" s="2" t="n">
        <v>-36.8333333333333</v>
      </c>
      <c r="C162" s="2" t="n">
        <v>-18.6</v>
      </c>
      <c r="D162" s="2" t="n">
        <v>84.9017424975799</v>
      </c>
      <c r="E162" s="3" t="n">
        <v>4.032</v>
      </c>
      <c r="F162" s="2" t="n">
        <v>-24.3333333333333</v>
      </c>
      <c r="G162" s="1" t="n">
        <v>17858</v>
      </c>
      <c r="H162" s="1" t="n">
        <v>4.33</v>
      </c>
      <c r="I162" s="12" t="n">
        <f aca="false">H162*3.6</f>
        <v>15.588</v>
      </c>
      <c r="J162" s="4" t="n">
        <f aca="false">LN(D162/1007.23)*(-8645.2)+105</f>
        <v>21488.5965974225</v>
      </c>
      <c r="K162" s="4" t="n">
        <f aca="false">45438.5*(1-(D162/1007.23)^0.1903)+105</f>
        <v>17164.2160591666</v>
      </c>
      <c r="L162" s="4" t="n">
        <f aca="false">105+29.271*(273.15+B162)*LN(1007.23/D162)</f>
        <v>17214.5118888106</v>
      </c>
      <c r="M162" s="3" t="n">
        <f aca="false">M161-0.016/40</f>
        <v>4.11200000000001</v>
      </c>
      <c r="N162" s="12" t="n">
        <f aca="false">E162*(-F162)</f>
        <v>98.1119999999999</v>
      </c>
    </row>
    <row r="163" customFormat="false" ht="12.8" hidden="false" customHeight="false" outlineLevel="0" collapsed="false">
      <c r="A163" s="13" t="n">
        <v>0.648263888888889</v>
      </c>
      <c r="B163" s="2" t="n">
        <v>-36.6666666666667</v>
      </c>
      <c r="C163" s="2" t="n">
        <v>-18.9</v>
      </c>
      <c r="D163" s="2" t="n">
        <v>83.2548725395289</v>
      </c>
      <c r="E163" s="3" t="n">
        <v>4.03066666666667</v>
      </c>
      <c r="F163" s="2" t="n">
        <v>-24.3333333333333</v>
      </c>
      <c r="G163" s="1" t="n">
        <v>17988</v>
      </c>
      <c r="H163" s="1" t="n">
        <v>4.21</v>
      </c>
      <c r="I163" s="12" t="n">
        <f aca="false">H163*3.6</f>
        <v>15.156</v>
      </c>
      <c r="J163" s="4" t="n">
        <f aca="false">LN(D163/1007.23)*(-8645.2)+105</f>
        <v>21657.9384384915</v>
      </c>
      <c r="K163" s="4" t="n">
        <f aca="false">45438.5*(1-(D163/1007.23)^0.1903)+105</f>
        <v>17269.8054464094</v>
      </c>
      <c r="L163" s="4" t="n">
        <f aca="false">105+29.271*(273.15+B163)*LN(1007.23/D163)</f>
        <v>17362.1685829486</v>
      </c>
      <c r="M163" s="3" t="n">
        <f aca="false">M162-0.016/40</f>
        <v>4.11160000000001</v>
      </c>
      <c r="N163" s="12" t="n">
        <f aca="false">E163*(-F163)</f>
        <v>98.0795555555555</v>
      </c>
    </row>
    <row r="164" customFormat="false" ht="12.8" hidden="false" customHeight="false" outlineLevel="0" collapsed="false">
      <c r="A164" s="14" t="n">
        <v>0.648611111111111</v>
      </c>
      <c r="B164" s="2" t="n">
        <v>-36.6</v>
      </c>
      <c r="C164" s="2" t="n">
        <v>-19.2</v>
      </c>
      <c r="D164" s="2" t="n">
        <v>81.592013552759</v>
      </c>
      <c r="E164" s="3" t="n">
        <v>4.02733333333333</v>
      </c>
      <c r="F164" s="2" t="n">
        <v>-25</v>
      </c>
      <c r="G164" s="1" t="n">
        <v>18114</v>
      </c>
      <c r="H164" s="1" t="n">
        <v>4.46</v>
      </c>
      <c r="I164" s="12" t="n">
        <f aca="false">H164*3.6</f>
        <v>16.056</v>
      </c>
      <c r="J164" s="4" t="n">
        <f aca="false">LN(D164/1007.23)*(-8645.2)+105</f>
        <v>21832.3577008412</v>
      </c>
      <c r="K164" s="4" t="n">
        <f aca="false">45438.5*(1-(D164/1007.23)^0.1903)+105</f>
        <v>17378.1500568562</v>
      </c>
      <c r="L164" s="4" t="n">
        <f aca="false">105+29.271*(273.15+B164)*LN(1007.23/D164)</f>
        <v>17506.7282204768</v>
      </c>
      <c r="M164" s="3" t="n">
        <f aca="false">M163-0.016/40</f>
        <v>4.11120000000001</v>
      </c>
      <c r="N164" s="12" t="n">
        <f aca="false">E164*(-F164)</f>
        <v>100.683333333333</v>
      </c>
    </row>
    <row r="165" customFormat="false" ht="12.8" hidden="false" customHeight="false" outlineLevel="0" collapsed="false">
      <c r="A165" s="13" t="n">
        <v>0.648958333333333</v>
      </c>
      <c r="B165" s="2" t="n">
        <v>-36.65</v>
      </c>
      <c r="C165" s="2" t="n">
        <v>-19.5</v>
      </c>
      <c r="D165" s="2" t="n">
        <v>80.0250887383027</v>
      </c>
      <c r="E165" s="3" t="n">
        <v>4.02466666666667</v>
      </c>
      <c r="F165" s="2" t="n">
        <v>-24</v>
      </c>
      <c r="G165" s="1" t="n">
        <v>18231</v>
      </c>
      <c r="H165" s="1" t="n">
        <v>4.18</v>
      </c>
      <c r="I165" s="12" t="n">
        <f aca="false">H165*3.6</f>
        <v>15.048</v>
      </c>
      <c r="J165" s="4" t="n">
        <f aca="false">LN(D165/1007.23)*(-8645.2)+105</f>
        <v>21999.9984107042</v>
      </c>
      <c r="K165" s="4" t="n">
        <f aca="false">45438.5*(1-(D165/1007.23)^0.1903)+105</f>
        <v>17481.8927046466</v>
      </c>
      <c r="L165" s="4" t="n">
        <f aca="false">105+29.271*(273.15+B165)*LN(1007.23/D165)</f>
        <v>17637.287268132</v>
      </c>
      <c r="M165" s="3" t="n">
        <f aca="false">M164-0.016/40</f>
        <v>4.11080000000001</v>
      </c>
      <c r="N165" s="12" t="n">
        <f aca="false">E165*(-F165)</f>
        <v>96.5920000000001</v>
      </c>
    </row>
    <row r="166" customFormat="false" ht="12.8" hidden="false" customHeight="false" outlineLevel="0" collapsed="false">
      <c r="A166" s="14" t="n">
        <v>0.649305555555556</v>
      </c>
      <c r="B166" s="2" t="n">
        <v>-36.3333333333333</v>
      </c>
      <c r="C166" s="2" t="n">
        <v>-19.8</v>
      </c>
      <c r="D166" s="2" t="n">
        <v>78.4741529525654</v>
      </c>
      <c r="E166" s="3" t="n">
        <v>4.02333333333333</v>
      </c>
      <c r="F166" s="2" t="n">
        <v>-24.3333333333333</v>
      </c>
      <c r="G166" s="1" t="n">
        <v>18348</v>
      </c>
      <c r="H166" s="1" t="n">
        <v>4.01</v>
      </c>
      <c r="I166" s="12" t="n">
        <f aca="false">H166*3.6</f>
        <v>14.436</v>
      </c>
      <c r="J166" s="4" t="n">
        <f aca="false">LN(D166/1007.23)*(-8645.2)+105</f>
        <v>22169.192633647</v>
      </c>
      <c r="K166" s="4" t="n">
        <f aca="false">45438.5*(1-(D166/1007.23)^0.1903)+105</f>
        <v>17586.2092839023</v>
      </c>
      <c r="L166" s="4" t="n">
        <f aca="false">105+29.271*(273.15+B166)*LN(1007.23/D166)</f>
        <v>17796.4251481975</v>
      </c>
      <c r="M166" s="3" t="n">
        <f aca="false">M165-0.016/40</f>
        <v>4.11040000000001</v>
      </c>
      <c r="N166" s="12" t="n">
        <f aca="false">E166*(-F166)</f>
        <v>97.9011111111109</v>
      </c>
    </row>
    <row r="167" customFormat="false" ht="12.8" hidden="false" customHeight="false" outlineLevel="0" collapsed="false">
      <c r="A167" s="13" t="n">
        <v>0.649652777777778</v>
      </c>
      <c r="B167" s="2" t="n">
        <v>-36.0166666666667</v>
      </c>
      <c r="C167" s="2" t="n">
        <v>-20.1</v>
      </c>
      <c r="D167" s="2" t="n">
        <v>77.0191513391417</v>
      </c>
      <c r="E167" s="3" t="n">
        <v>4.02</v>
      </c>
      <c r="F167" s="2" t="n">
        <v>-24.1666666666667</v>
      </c>
      <c r="G167" s="1" t="n">
        <v>18473</v>
      </c>
      <c r="H167" s="1" t="n">
        <v>4.28</v>
      </c>
      <c r="I167" s="12" t="n">
        <f aca="false">H167*3.6</f>
        <v>15.408</v>
      </c>
      <c r="J167" s="4" t="n">
        <f aca="false">LN(D167/1007.23)*(-8645.2)+105</f>
        <v>22330.9892737759</v>
      </c>
      <c r="K167" s="4" t="n">
        <f aca="false">45438.5*(1-(D167/1007.23)^0.1903)+105</f>
        <v>17685.6021430908</v>
      </c>
      <c r="L167" s="4" t="n">
        <f aca="false">105+29.271*(273.15+B167)*LN(1007.23/D167)</f>
        <v>17949.9864066402</v>
      </c>
      <c r="M167" s="3" t="n">
        <f aca="false">M166-0.016/40</f>
        <v>4.11000000000001</v>
      </c>
      <c r="N167" s="12" t="n">
        <f aca="false">E167*(-F167)</f>
        <v>97.1500000000001</v>
      </c>
    </row>
    <row r="168" customFormat="false" ht="12.8" hidden="false" customHeight="false" outlineLevel="0" collapsed="false">
      <c r="A168" s="14" t="n">
        <v>0.65</v>
      </c>
      <c r="B168" s="2" t="n">
        <v>-35.8</v>
      </c>
      <c r="C168" s="2" t="n">
        <v>-20.3833333333333</v>
      </c>
      <c r="D168" s="2" t="n">
        <v>75.5961277831559</v>
      </c>
      <c r="E168" s="3" t="n">
        <v>4.01733333333333</v>
      </c>
      <c r="F168" s="2" t="n">
        <v>-24</v>
      </c>
      <c r="G168" s="1" t="n">
        <v>18596</v>
      </c>
      <c r="H168" s="1" t="n">
        <v>4.11</v>
      </c>
      <c r="I168" s="12" t="n">
        <f aca="false">H168*3.6</f>
        <v>14.796</v>
      </c>
      <c r="J168" s="4" t="n">
        <f aca="false">LN(D168/1007.23)*(-8645.2)+105</f>
        <v>22492.2140196057</v>
      </c>
      <c r="K168" s="4" t="n">
        <f aca="false">45438.5*(1-(D168/1007.23)^0.1903)+105</f>
        <v>17784.2921949541</v>
      </c>
      <c r="L168" s="4" t="n">
        <f aca="false">105+29.271*(273.15+B168)*LN(1007.23/D168)</f>
        <v>18095.8549485421</v>
      </c>
      <c r="M168" s="3" t="n">
        <f aca="false">M167-0.016/40</f>
        <v>4.10960000000001</v>
      </c>
      <c r="N168" s="12" t="n">
        <f aca="false">E168*(-F168)</f>
        <v>96.4159999999999</v>
      </c>
    </row>
    <row r="169" customFormat="false" ht="12.8" hidden="false" customHeight="false" outlineLevel="0" collapsed="false">
      <c r="A169" s="13" t="n">
        <v>0.650347222222222</v>
      </c>
      <c r="B169" s="2" t="n">
        <v>-35.5333333333333</v>
      </c>
      <c r="C169" s="2" t="n">
        <v>-20.65</v>
      </c>
      <c r="D169" s="2" t="n">
        <v>74.2210713133269</v>
      </c>
      <c r="E169" s="3" t="n">
        <v>4.016</v>
      </c>
      <c r="F169" s="2" t="n">
        <v>-23.8333333333333</v>
      </c>
      <c r="G169" s="1" t="n">
        <v>18730</v>
      </c>
      <c r="H169" s="1" t="n">
        <v>4.4</v>
      </c>
      <c r="I169" s="12" t="n">
        <f aca="false">H169*3.6</f>
        <v>15.84</v>
      </c>
      <c r="J169" s="4" t="n">
        <f aca="false">LN(D169/1007.23)*(-8645.2)+105</f>
        <v>22650.9137161148</v>
      </c>
      <c r="K169" s="4" t="n">
        <f aca="false">45438.5*(1-(D169/1007.23)^0.1903)+105</f>
        <v>17881.0951380186</v>
      </c>
      <c r="L169" s="4" t="n">
        <f aca="false">105+29.271*(273.15+B169)*LN(1007.23/D169)</f>
        <v>18243.745808002</v>
      </c>
      <c r="M169" s="3" t="n">
        <f aca="false">M168-0.016/40</f>
        <v>4.10920000000001</v>
      </c>
      <c r="N169" s="12" t="n">
        <f aca="false">E169*(-F169)</f>
        <v>95.7146666666665</v>
      </c>
    </row>
    <row r="170" customFormat="false" ht="12.8" hidden="false" customHeight="false" outlineLevel="0" collapsed="false">
      <c r="A170" s="14" t="n">
        <v>0.650694444444445</v>
      </c>
      <c r="B170" s="2" t="n">
        <v>-35.4333333333333</v>
      </c>
      <c r="C170" s="2" t="n">
        <v>-20.9333333333333</v>
      </c>
      <c r="D170" s="2" t="n">
        <v>72.81403678606</v>
      </c>
      <c r="E170" s="3" t="n">
        <v>4.012</v>
      </c>
      <c r="F170" s="2" t="n">
        <v>-24.3333333333333</v>
      </c>
      <c r="G170" s="1" t="n">
        <v>18863</v>
      </c>
      <c r="H170" s="1" t="n">
        <v>4.57</v>
      </c>
      <c r="I170" s="12" t="n">
        <f aca="false">H170*3.6</f>
        <v>16.452</v>
      </c>
      <c r="J170" s="4" t="n">
        <f aca="false">LN(D170/1007.23)*(-8645.2)+105</f>
        <v>22816.3771401044</v>
      </c>
      <c r="K170" s="4" t="n">
        <f aca="false">45438.5*(1-(D170/1007.23)^0.1903)+105</f>
        <v>17981.6643452477</v>
      </c>
      <c r="L170" s="4" t="n">
        <f aca="false">105+29.271*(273.15+B170)*LN(1007.23/D170)</f>
        <v>18384.5548689493</v>
      </c>
      <c r="M170" s="3" t="n">
        <f aca="false">M169-0.016/40</f>
        <v>4.10880000000001</v>
      </c>
      <c r="N170" s="12" t="n">
        <f aca="false">E170*(-F170)</f>
        <v>97.6253333333332</v>
      </c>
    </row>
    <row r="171" customFormat="false" ht="12.8" hidden="false" customHeight="false" outlineLevel="0" collapsed="false">
      <c r="A171" s="13" t="n">
        <v>0.651041666666667</v>
      </c>
      <c r="B171" s="2" t="n">
        <v>-35.45</v>
      </c>
      <c r="C171" s="2" t="n">
        <v>-21.2</v>
      </c>
      <c r="D171" s="2" t="n">
        <v>71.3910132300742</v>
      </c>
      <c r="E171" s="3" t="n">
        <v>4.01</v>
      </c>
      <c r="F171" s="2" t="n">
        <v>-24.5</v>
      </c>
      <c r="G171" s="1" t="n">
        <v>18989</v>
      </c>
      <c r="H171" s="1" t="n">
        <v>3.83</v>
      </c>
      <c r="I171" s="12" t="n">
        <f aca="false">H171*3.6</f>
        <v>13.788</v>
      </c>
      <c r="J171" s="4" t="n">
        <f aca="false">LN(D171/1007.23)*(-8645.2)+105</f>
        <v>22987.0053198466</v>
      </c>
      <c r="K171" s="4" t="n">
        <f aca="false">45438.5*(1-(D171/1007.23)^0.1903)+105</f>
        <v>18084.9897966039</v>
      </c>
      <c r="L171" s="4" t="n">
        <f aca="false">105+29.271*(273.15+B171)*LN(1007.23/D171)</f>
        <v>18520.5960004842</v>
      </c>
      <c r="M171" s="3" t="n">
        <f aca="false">M170-0.016/40</f>
        <v>4.10840000000001</v>
      </c>
      <c r="N171" s="12" t="n">
        <f aca="false">E171*(-F171)</f>
        <v>98.245</v>
      </c>
    </row>
    <row r="172" customFormat="false" ht="12.8" hidden="false" customHeight="false" outlineLevel="0" collapsed="false">
      <c r="A172" s="14" t="n">
        <v>0.651388888888889</v>
      </c>
      <c r="B172" s="2" t="n">
        <v>-35.35</v>
      </c>
      <c r="C172" s="2" t="n">
        <v>-21.4333333333333</v>
      </c>
      <c r="D172" s="2" t="n">
        <v>69.9839787028074</v>
      </c>
      <c r="E172" s="3" t="n">
        <v>4.00733333333333</v>
      </c>
      <c r="F172" s="2" t="n">
        <v>-23.6666666666667</v>
      </c>
      <c r="G172" s="1" t="n">
        <v>19118</v>
      </c>
      <c r="H172" s="1" t="n">
        <v>3.83</v>
      </c>
      <c r="I172" s="12" t="n">
        <f aca="false">H172*3.6</f>
        <v>13.788</v>
      </c>
      <c r="J172" s="4" t="n">
        <f aca="false">LN(D172/1007.23)*(-8645.2)+105</f>
        <v>23159.0936981327</v>
      </c>
      <c r="K172" s="4" t="n">
        <f aca="false">45438.5*(1-(D172/1007.23)^0.1903)+105</f>
        <v>18188.8071496042</v>
      </c>
      <c r="L172" s="4" t="n">
        <f aca="false">105+29.271*(273.15+B172)*LN(1007.23/D172)</f>
        <v>18666.8995933612</v>
      </c>
      <c r="M172" s="3" t="n">
        <f aca="false">M171-0.016/40</f>
        <v>4.10800000000001</v>
      </c>
      <c r="N172" s="12" t="n">
        <f aca="false">E172*(-F172)</f>
        <v>94.8402222222223</v>
      </c>
    </row>
    <row r="173" customFormat="false" ht="12.8" hidden="false" customHeight="false" outlineLevel="0" collapsed="false">
      <c r="A173" s="13" t="n">
        <v>0.651736111111111</v>
      </c>
      <c r="B173" s="2" t="n">
        <v>-35.7</v>
      </c>
      <c r="C173" s="2" t="n">
        <v>-21.7</v>
      </c>
      <c r="D173" s="2" t="n">
        <v>68.6249112616973</v>
      </c>
      <c r="E173" s="3" t="n">
        <v>4.004</v>
      </c>
      <c r="F173" s="2" t="n">
        <v>-23.6666666666667</v>
      </c>
      <c r="G173" s="1" t="n">
        <v>19250</v>
      </c>
      <c r="H173" s="1" t="n">
        <v>4.4</v>
      </c>
      <c r="I173" s="12" t="n">
        <f aca="false">H173*3.6</f>
        <v>15.84</v>
      </c>
      <c r="J173" s="4" t="n">
        <f aca="false">LN(D173/1007.23)*(-8645.2)+105</f>
        <v>23328.6324108708</v>
      </c>
      <c r="K173" s="4" t="n">
        <f aca="false">45438.5*(1-(D173/1007.23)^0.1903)+105</f>
        <v>18290.7024943203</v>
      </c>
      <c r="L173" s="4" t="n">
        <f aca="false">105+29.271*(273.15+B173)*LN(1007.23/D173)</f>
        <v>18775.8821454336</v>
      </c>
      <c r="M173" s="3" t="n">
        <f aca="false">M172-0.016/40</f>
        <v>4.10760000000001</v>
      </c>
      <c r="N173" s="12" t="n">
        <f aca="false">E173*(-F173)</f>
        <v>94.7613333333335</v>
      </c>
    </row>
    <row r="174" customFormat="false" ht="12.8" hidden="false" customHeight="false" outlineLevel="0" collapsed="false">
      <c r="A174" s="14" t="n">
        <v>0.652083333333333</v>
      </c>
      <c r="B174" s="2" t="n">
        <v>-35.45</v>
      </c>
      <c r="C174" s="2" t="n">
        <v>-21.9666666666667</v>
      </c>
      <c r="D174" s="2" t="n">
        <v>67.2498547918683</v>
      </c>
      <c r="E174" s="3" t="n">
        <v>4.00066666666667</v>
      </c>
      <c r="F174" s="2" t="n">
        <v>-24.1666666666667</v>
      </c>
      <c r="G174" s="1" t="n">
        <v>19377</v>
      </c>
      <c r="H174" s="1" t="n">
        <v>4.69</v>
      </c>
      <c r="I174" s="12" t="n">
        <f aca="false">H174*3.6</f>
        <v>16.884</v>
      </c>
      <c r="J174" s="4" t="n">
        <f aca="false">LN(D174/1007.23)*(-8645.2)+105</f>
        <v>23503.6177210536</v>
      </c>
      <c r="K174" s="4" t="n">
        <f aca="false">45438.5*(1-(D174/1007.23)^0.1903)+105</f>
        <v>18395.4732996461</v>
      </c>
      <c r="L174" s="4" t="n">
        <f aca="false">105+29.271*(273.15+B174)*LN(1007.23/D174)</f>
        <v>18936.3692308669</v>
      </c>
      <c r="M174" s="3" t="n">
        <f aca="false">M173-0.016/40</f>
        <v>4.10720000000001</v>
      </c>
      <c r="N174" s="12" t="n">
        <f aca="false">E174*(-F174)</f>
        <v>96.682777777778</v>
      </c>
    </row>
    <row r="175" customFormat="false" ht="12.8" hidden="false" customHeight="false" outlineLevel="0" collapsed="false">
      <c r="A175" s="13" t="n">
        <v>0.652430555555556</v>
      </c>
      <c r="B175" s="2" t="n">
        <v>-35.2333333333333</v>
      </c>
      <c r="C175" s="2" t="n">
        <v>-22.2</v>
      </c>
      <c r="D175" s="2" t="n">
        <v>65.8747983220394</v>
      </c>
      <c r="E175" s="3" t="n">
        <v>3.99866666666667</v>
      </c>
      <c r="F175" s="2" t="n">
        <v>-23.6666666666667</v>
      </c>
      <c r="G175" s="1" t="n">
        <v>19512</v>
      </c>
      <c r="H175" s="1" t="n">
        <v>4.43</v>
      </c>
      <c r="I175" s="12" t="n">
        <f aca="false">H175*3.6</f>
        <v>15.948</v>
      </c>
      <c r="J175" s="4" t="n">
        <f aca="false">LN(D175/1007.23)*(-8645.2)+105</f>
        <v>23682.2181636668</v>
      </c>
      <c r="K175" s="4" t="n">
        <f aca="false">45438.5*(1-(D175/1007.23)^0.1903)+105</f>
        <v>18501.9932930534</v>
      </c>
      <c r="L175" s="4" t="n">
        <f aca="false">105+29.271*(273.15+B175)*LN(1007.23/D175)</f>
        <v>19097.404161077</v>
      </c>
      <c r="M175" s="3" t="n">
        <f aca="false">M174-0.016/40</f>
        <v>4.10680000000001</v>
      </c>
      <c r="N175" s="12" t="n">
        <f aca="false">E175*(-F175)</f>
        <v>94.6351111111113</v>
      </c>
    </row>
    <row r="176" customFormat="false" ht="12.8" hidden="false" customHeight="false" outlineLevel="0" collapsed="false">
      <c r="A176" s="14" t="n">
        <v>0.652777777777778</v>
      </c>
      <c r="B176" s="2" t="n">
        <v>-35.2333333333333</v>
      </c>
      <c r="C176" s="2" t="n">
        <v>-22.4333333333333</v>
      </c>
      <c r="D176" s="2" t="n">
        <v>64.5317199096483</v>
      </c>
      <c r="E176" s="3" t="n">
        <v>3.996</v>
      </c>
      <c r="F176" s="2" t="n">
        <v>-24</v>
      </c>
      <c r="G176" s="1" t="n">
        <v>19648</v>
      </c>
      <c r="H176" s="1" t="n">
        <v>4.35</v>
      </c>
      <c r="I176" s="12" t="n">
        <f aca="false">H176*3.6</f>
        <v>15.66</v>
      </c>
      <c r="J176" s="4" t="n">
        <f aca="false">LN(D176/1007.23)*(-8645.2)+105</f>
        <v>23860.3011647007</v>
      </c>
      <c r="K176" s="4" t="n">
        <f aca="false">45438.5*(1-(D176/1007.23)^0.1903)+105</f>
        <v>18607.7885398285</v>
      </c>
      <c r="L176" s="4" t="n">
        <f aca="false">105+29.271*(273.15+B176)*LN(1007.23/D176)</f>
        <v>19240.857231171</v>
      </c>
      <c r="M176" s="3" t="n">
        <f aca="false">M175-0.016/40</f>
        <v>4.10640000000001</v>
      </c>
      <c r="N176" s="12" t="n">
        <f aca="false">E176*(-F176)</f>
        <v>95.904</v>
      </c>
    </row>
    <row r="177" customFormat="false" ht="12.8" hidden="false" customHeight="false" outlineLevel="0" collapsed="false">
      <c r="A177" s="13" t="n">
        <v>0.653125</v>
      </c>
      <c r="B177" s="2" t="n">
        <v>-35.55</v>
      </c>
      <c r="C177" s="2" t="n">
        <v>-22.7</v>
      </c>
      <c r="D177" s="2" t="n">
        <v>63.2685866408519</v>
      </c>
      <c r="E177" s="3" t="n">
        <v>3.99333333333333</v>
      </c>
      <c r="F177" s="2" t="n">
        <v>-23.5</v>
      </c>
      <c r="G177" s="1" t="n">
        <v>19779</v>
      </c>
      <c r="H177" s="1" t="n">
        <v>4.13</v>
      </c>
      <c r="I177" s="12" t="n">
        <f aca="false">H177*3.6</f>
        <v>14.868</v>
      </c>
      <c r="J177" s="4" t="n">
        <f aca="false">LN(D177/1007.23)*(-8645.2)+105</f>
        <v>24031.1989603502</v>
      </c>
      <c r="K177" s="4" t="n">
        <f aca="false">45438.5*(1-(D177/1007.23)^0.1903)+105</f>
        <v>18708.9259989697</v>
      </c>
      <c r="L177" s="4" t="n">
        <f aca="false">105+29.271*(273.15+B177)*LN(1007.23/D177)</f>
        <v>19352.8693028471</v>
      </c>
      <c r="M177" s="3" t="n">
        <f aca="false">M176-0.016/40</f>
        <v>4.10600000000001</v>
      </c>
      <c r="N177" s="12" t="n">
        <f aca="false">E177*(-F177)</f>
        <v>93.8433333333333</v>
      </c>
    </row>
    <row r="178" customFormat="false" ht="12.8" hidden="false" customHeight="false" outlineLevel="0" collapsed="false">
      <c r="A178" s="14" t="n">
        <v>0.653472222222222</v>
      </c>
      <c r="B178" s="2" t="n">
        <v>-34.9166666666667</v>
      </c>
      <c r="C178" s="2" t="n">
        <v>-22.9166666666667</v>
      </c>
      <c r="D178" s="2" t="n">
        <v>61.9894643433366</v>
      </c>
      <c r="E178" s="3" t="n">
        <v>3.98866666666667</v>
      </c>
      <c r="F178" s="2" t="n">
        <v>-23.6666666666667</v>
      </c>
      <c r="G178" s="1" t="n">
        <v>19908</v>
      </c>
      <c r="H178" s="1" t="n">
        <v>4.08</v>
      </c>
      <c r="I178" s="12" t="n">
        <f aca="false">H178*3.6</f>
        <v>14.688</v>
      </c>
      <c r="J178" s="4" t="n">
        <f aca="false">LN(D178/1007.23)*(-8645.2)+105</f>
        <v>24207.7728798627</v>
      </c>
      <c r="K178" s="4" t="n">
        <f aca="false">45438.5*(1-(D178/1007.23)^0.1903)+105</f>
        <v>18813.02373283</v>
      </c>
      <c r="L178" s="4" t="n">
        <f aca="false">105+29.271*(273.15+B178)*LN(1007.23/D178)</f>
        <v>19546.6021133704</v>
      </c>
      <c r="M178" s="3" t="n">
        <f aca="false">M177-0.016/40</f>
        <v>4.10560000000001</v>
      </c>
      <c r="N178" s="12" t="n">
        <f aca="false">E178*(-F178)</f>
        <v>94.3984444444447</v>
      </c>
    </row>
    <row r="179" customFormat="false" ht="12.8" hidden="false" customHeight="false" outlineLevel="0" collapsed="false">
      <c r="A179" s="13" t="n">
        <v>0.653819444444444</v>
      </c>
      <c r="B179" s="2" t="n">
        <v>-34.65</v>
      </c>
      <c r="C179" s="2" t="n">
        <v>-23.1333333333333</v>
      </c>
      <c r="D179" s="2" t="n">
        <v>60.7423201032591</v>
      </c>
      <c r="E179" s="3" t="n">
        <v>3.98666666666667</v>
      </c>
      <c r="F179" s="2" t="n">
        <v>-24.3333333333333</v>
      </c>
      <c r="G179" s="1" t="n">
        <v>20039</v>
      </c>
      <c r="H179" s="1" t="n">
        <v>5.36</v>
      </c>
      <c r="I179" s="12" t="n">
        <f aca="false">H179*3.6</f>
        <v>19.296</v>
      </c>
      <c r="J179" s="4" t="n">
        <f aca="false">LN(D179/1007.23)*(-8645.2)+105</f>
        <v>24383.4760614778</v>
      </c>
      <c r="K179" s="4" t="n">
        <f aca="false">45438.5*(1-(D179/1007.23)^0.1903)+105</f>
        <v>18916.2072897122</v>
      </c>
      <c r="L179" s="4" t="n">
        <f aca="false">105+29.271*(273.15+B179)*LN(1007.23/D179)</f>
        <v>19710.2471384966</v>
      </c>
      <c r="M179" s="3" t="n">
        <f aca="false">M178-0.016/40</f>
        <v>4.10520000000001</v>
      </c>
      <c r="N179" s="12" t="n">
        <f aca="false">E179*(-F179)</f>
        <v>97.0088888888888</v>
      </c>
    </row>
    <row r="180" customFormat="false" ht="12.8" hidden="false" customHeight="false" outlineLevel="0" collapsed="false">
      <c r="A180" s="14" t="n">
        <v>0.654166666666667</v>
      </c>
      <c r="B180" s="2" t="n">
        <v>-34.55</v>
      </c>
      <c r="C180" s="2" t="n">
        <v>-23.3833333333333</v>
      </c>
      <c r="D180" s="2" t="n">
        <v>59.4791868344627</v>
      </c>
      <c r="E180" s="3" t="n">
        <v>3.984</v>
      </c>
      <c r="F180" s="2" t="n">
        <v>-23.3333333333333</v>
      </c>
      <c r="G180" s="1" t="n">
        <v>20176</v>
      </c>
      <c r="H180" s="1" t="n">
        <v>4.88</v>
      </c>
      <c r="I180" s="12" t="n">
        <f aca="false">H180*3.6</f>
        <v>17.568</v>
      </c>
      <c r="J180" s="4" t="n">
        <f aca="false">LN(D180/1007.23)*(-8645.2)+105</f>
        <v>24565.1480745011</v>
      </c>
      <c r="K180" s="4" t="n">
        <f aca="false">45438.5*(1-(D180/1007.23)^0.1903)+105</f>
        <v>19022.4772947604</v>
      </c>
      <c r="L180" s="4" t="n">
        <f aca="false">105+29.271*(273.15+B180)*LN(1007.23/D180)</f>
        <v>19865.2318555139</v>
      </c>
      <c r="M180" s="3" t="n">
        <f aca="false">M179-0.016/40</f>
        <v>4.10480000000001</v>
      </c>
      <c r="N180" s="12" t="n">
        <f aca="false">E180*(-F180)</f>
        <v>92.9599999999999</v>
      </c>
    </row>
    <row r="181" customFormat="false" ht="12.8" hidden="false" customHeight="false" outlineLevel="0" collapsed="false">
      <c r="A181" s="13" t="n">
        <v>0.654513888888889</v>
      </c>
      <c r="B181" s="2" t="n">
        <v>-34.3166666666667</v>
      </c>
      <c r="C181" s="2" t="n">
        <v>-23.5833333333333</v>
      </c>
      <c r="D181" s="2" t="n">
        <v>58.31198773798</v>
      </c>
      <c r="E181" s="3" t="n">
        <v>3.98066666666667</v>
      </c>
      <c r="F181" s="2" t="n">
        <v>-24</v>
      </c>
      <c r="G181" s="1" t="n">
        <v>20308</v>
      </c>
      <c r="H181" s="1" t="n">
        <v>4.24</v>
      </c>
      <c r="I181" s="12" t="n">
        <f aca="false">H181*3.6</f>
        <v>15.264</v>
      </c>
      <c r="J181" s="4" t="n">
        <f aca="false">LN(D181/1007.23)*(-8645.2)+105</f>
        <v>24736.4851878362</v>
      </c>
      <c r="K181" s="4" t="n">
        <f aca="false">45438.5*(1-(D181/1007.23)^0.1903)+105</f>
        <v>19122.3131956142</v>
      </c>
      <c r="L181" s="4" t="n">
        <f aca="false">105+29.271*(273.15+B181)*LN(1007.23/D181)</f>
        <v>20023.1066719723</v>
      </c>
      <c r="M181" s="3" t="n">
        <f aca="false">M180-0.016/40</f>
        <v>4.10440000000001</v>
      </c>
      <c r="N181" s="12" t="n">
        <f aca="false">E181*(-F181)</f>
        <v>95.5360000000001</v>
      </c>
    </row>
    <row r="182" customFormat="false" ht="12.8" hidden="false" customHeight="false" outlineLevel="0" collapsed="false">
      <c r="A182" s="14" t="n">
        <v>0.654861111111111</v>
      </c>
      <c r="B182" s="2" t="n">
        <v>-34.2333333333333</v>
      </c>
      <c r="C182" s="2" t="n">
        <v>-23.8166666666667</v>
      </c>
      <c r="D182" s="2" t="n">
        <v>57.0808325266215</v>
      </c>
      <c r="E182" s="3" t="n">
        <v>3.97666666666667</v>
      </c>
      <c r="F182" s="2" t="n">
        <v>-24</v>
      </c>
      <c r="G182" s="1" t="n">
        <v>20455</v>
      </c>
      <c r="H182" s="1" t="n">
        <v>4.43</v>
      </c>
      <c r="I182" s="12" t="n">
        <f aca="false">H182*3.6</f>
        <v>15.948</v>
      </c>
      <c r="J182" s="4" t="n">
        <f aca="false">LN(D182/1007.23)*(-8645.2)+105</f>
        <v>24920.967842822</v>
      </c>
      <c r="K182" s="4" t="n">
        <f aca="false">45438.5*(1-(D182/1007.23)^0.1903)+105</f>
        <v>19229.3886920463</v>
      </c>
      <c r="L182" s="4" t="n">
        <f aca="false">105+29.271*(273.15+B182)*LN(1007.23/D182)</f>
        <v>20179.2893386215</v>
      </c>
      <c r="M182" s="3" t="n">
        <f aca="false">M181-0.016/40</f>
        <v>4.10400000000001</v>
      </c>
      <c r="N182" s="12" t="n">
        <f aca="false">E182*(-F182)</f>
        <v>95.4400000000001</v>
      </c>
    </row>
    <row r="183" customFormat="false" ht="12.8" hidden="false" customHeight="false" outlineLevel="0" collapsed="false">
      <c r="A183" s="13" t="n">
        <v>0.655208333333333</v>
      </c>
      <c r="B183" s="2" t="n">
        <v>-34.15</v>
      </c>
      <c r="C183" s="2" t="n">
        <v>-24.0166666666667</v>
      </c>
      <c r="D183" s="2" t="n">
        <v>55.849677315263</v>
      </c>
      <c r="E183" s="3" t="n">
        <v>3.97466666666667</v>
      </c>
      <c r="F183" s="2" t="n">
        <v>-24.3333333333333</v>
      </c>
      <c r="G183" s="1" t="n">
        <v>20596</v>
      </c>
      <c r="H183" s="1" t="n">
        <v>4.96</v>
      </c>
      <c r="I183" s="12" t="n">
        <f aca="false">H183*3.6</f>
        <v>17.856</v>
      </c>
      <c r="J183" s="4" t="n">
        <f aca="false">LN(D183/1007.23)*(-8645.2)+105</f>
        <v>25109.4732298114</v>
      </c>
      <c r="K183" s="4" t="n">
        <f aca="false">45438.5*(1-(D183/1007.23)^0.1903)+105</f>
        <v>19338.350799108</v>
      </c>
      <c r="L183" s="4" t="n">
        <f aca="false">105+29.271*(273.15+B183)*LN(1007.23/D183)</f>
        <v>20338.8313379036</v>
      </c>
      <c r="M183" s="3" t="n">
        <f aca="false">M182-0.016/40</f>
        <v>4.10360000000001</v>
      </c>
      <c r="N183" s="12" t="n">
        <f aca="false">E183*(-F183)</f>
        <v>96.7168888888888</v>
      </c>
    </row>
    <row r="184" customFormat="false" ht="12.8" hidden="false" customHeight="false" outlineLevel="0" collapsed="false">
      <c r="A184" s="14" t="n">
        <v>0.655555555555556</v>
      </c>
      <c r="B184" s="2" t="n">
        <v>-34</v>
      </c>
      <c r="C184" s="2" t="n">
        <v>-24.25</v>
      </c>
      <c r="D184" s="2" t="n">
        <v>54.6824782187803</v>
      </c>
      <c r="E184" s="3" t="n">
        <v>3.97133333333333</v>
      </c>
      <c r="F184" s="2" t="n">
        <v>-23.6666666666667</v>
      </c>
      <c r="G184" s="1" t="n">
        <v>20731</v>
      </c>
      <c r="H184" s="1" t="n">
        <v>4.79</v>
      </c>
      <c r="I184" s="12" t="n">
        <f aca="false">H184*3.6</f>
        <v>17.244</v>
      </c>
      <c r="J184" s="4" t="n">
        <f aca="false">LN(D184/1007.23)*(-8645.2)+105</f>
        <v>25292.0634394097</v>
      </c>
      <c r="K184" s="4" t="n">
        <f aca="false">45438.5*(1-(D184/1007.23)^0.1903)+105</f>
        <v>19443.4635490726</v>
      </c>
      <c r="L184" s="4" t="n">
        <f aca="false">105+29.271*(273.15+B184)*LN(1007.23/D184)</f>
        <v>20499.3766703542</v>
      </c>
      <c r="M184" s="3" t="n">
        <f aca="false">M183-0.016/40</f>
        <v>4.10320000000001</v>
      </c>
      <c r="N184" s="12" t="n">
        <f aca="false">E184*(-F184)</f>
        <v>93.9882222222223</v>
      </c>
    </row>
    <row r="185" customFormat="false" ht="12.8" hidden="false" customHeight="false" outlineLevel="0" collapsed="false">
      <c r="A185" s="13" t="n">
        <v>0.655902777777778</v>
      </c>
      <c r="B185" s="2" t="n">
        <v>-33.8666666666667</v>
      </c>
      <c r="C185" s="2" t="n">
        <v>-24.45</v>
      </c>
      <c r="D185" s="2" t="n">
        <v>53.5312681510165</v>
      </c>
      <c r="E185" s="3" t="n">
        <v>3.96866666666667</v>
      </c>
      <c r="F185" s="2" t="n">
        <v>-24</v>
      </c>
      <c r="G185" s="1" t="n">
        <v>20866</v>
      </c>
      <c r="H185" s="1" t="n">
        <v>3.99</v>
      </c>
      <c r="I185" s="12" t="n">
        <f aca="false">H185*3.6</f>
        <v>14.364</v>
      </c>
      <c r="J185" s="4" t="n">
        <f aca="false">LN(D185/1007.23)*(-8645.2)+105</f>
        <v>25476.0108044661</v>
      </c>
      <c r="K185" s="4" t="n">
        <f aca="false">45438.5*(1-(D185/1007.23)^0.1903)+105</f>
        <v>19548.9312494506</v>
      </c>
      <c r="L185" s="4" t="n">
        <f aca="false">105+29.271*(273.15+B185)*LN(1007.23/D185)</f>
        <v>20659.7753775628</v>
      </c>
      <c r="M185" s="3" t="n">
        <f aca="false">M184-0.016/40</f>
        <v>4.10280000000001</v>
      </c>
      <c r="N185" s="12" t="n">
        <f aca="false">E185*(-F185)</f>
        <v>95.2480000000001</v>
      </c>
    </row>
    <row r="186" customFormat="false" ht="12.8" hidden="false" customHeight="false" outlineLevel="0" collapsed="false">
      <c r="A186" s="14" t="n">
        <v>0.65625</v>
      </c>
      <c r="B186" s="2" t="n">
        <v>-33.65</v>
      </c>
      <c r="C186" s="2" t="n">
        <v>-24.65</v>
      </c>
      <c r="D186" s="2" t="n">
        <v>52.3800580832527</v>
      </c>
      <c r="E186" s="3" t="n">
        <v>3.96533333333333</v>
      </c>
      <c r="F186" s="2" t="n">
        <v>-23.5</v>
      </c>
      <c r="G186" s="1" t="n">
        <v>20998</v>
      </c>
      <c r="H186" s="1" t="n">
        <v>4.2</v>
      </c>
      <c r="I186" s="12" t="n">
        <f aca="false">H186*3.6</f>
        <v>15.12</v>
      </c>
      <c r="J186" s="4" t="n">
        <f aca="false">LN(D186/1007.23)*(-8645.2)+105</f>
        <v>25663.9573369352</v>
      </c>
      <c r="K186" s="4" t="n">
        <f aca="false">45438.5*(1-(D186/1007.23)^0.1903)+105</f>
        <v>19656.2517336981</v>
      </c>
      <c r="L186" s="4" t="n">
        <f aca="false">105+29.271*(273.15+B186)*LN(1007.23/D186)</f>
        <v>20830.7934495626</v>
      </c>
      <c r="M186" s="3" t="n">
        <f aca="false">M185-0.016/40</f>
        <v>4.10240000000001</v>
      </c>
      <c r="N186" s="12" t="n">
        <f aca="false">E186*(-F186)</f>
        <v>93.1853333333333</v>
      </c>
    </row>
    <row r="187" customFormat="false" ht="12.8" hidden="false" customHeight="false" outlineLevel="0" collapsed="false">
      <c r="A187" s="13" t="n">
        <v>0.656597222222222</v>
      </c>
      <c r="B187" s="2" t="n">
        <v>-33.3</v>
      </c>
      <c r="C187" s="2" t="n">
        <v>-24.8666666666667</v>
      </c>
      <c r="D187" s="2" t="n">
        <v>51.3087931590836</v>
      </c>
      <c r="E187" s="3" t="n">
        <v>3.964</v>
      </c>
      <c r="F187" s="2" t="n">
        <v>-23.8333333333333</v>
      </c>
      <c r="G187" s="1" t="n">
        <v>21129</v>
      </c>
      <c r="H187" s="1" t="n">
        <v>4.78</v>
      </c>
      <c r="I187" s="12" t="n">
        <f aca="false">H187*3.6</f>
        <v>17.208</v>
      </c>
      <c r="J187" s="4" t="n">
        <f aca="false">LN(D187/1007.23)*(-8645.2)+105</f>
        <v>25842.6000540925</v>
      </c>
      <c r="K187" s="4" t="n">
        <f aca="false">45438.5*(1-(D187/1007.23)^0.1903)+105</f>
        <v>19757.8488391653</v>
      </c>
      <c r="L187" s="4" t="n">
        <f aca="false">105+29.271*(273.15+B187)*LN(1007.23/D187)</f>
        <v>21006.1549866197</v>
      </c>
      <c r="M187" s="3" t="n">
        <f aca="false">M186-0.016/40</f>
        <v>4.10200000000001</v>
      </c>
      <c r="N187" s="12" t="n">
        <f aca="false">E187*(-F187)</f>
        <v>94.4753333333332</v>
      </c>
    </row>
    <row r="188" customFormat="false" ht="12.8" hidden="false" customHeight="false" outlineLevel="0" collapsed="false">
      <c r="A188" s="14" t="n">
        <v>0.656944444444444</v>
      </c>
      <c r="B188" s="2" t="n">
        <v>-33.05</v>
      </c>
      <c r="C188" s="2" t="n">
        <v>-25.05</v>
      </c>
      <c r="D188" s="2" t="n">
        <v>50.2215392061955</v>
      </c>
      <c r="E188" s="3" t="n">
        <v>3.95933333333333</v>
      </c>
      <c r="F188" s="2" t="n">
        <v>-23</v>
      </c>
      <c r="G188" s="1" t="n">
        <v>21269</v>
      </c>
      <c r="H188" s="1" t="n">
        <v>4.42</v>
      </c>
      <c r="I188" s="12" t="n">
        <f aca="false">H188*3.6</f>
        <v>15.912</v>
      </c>
      <c r="J188" s="4" t="n">
        <f aca="false">LN(D188/1007.23)*(-8645.2)+105</f>
        <v>26027.7641716039</v>
      </c>
      <c r="K188" s="4" t="n">
        <f aca="false">45438.5*(1-(D188/1007.23)^0.1903)+105</f>
        <v>19862.7339671281</v>
      </c>
      <c r="L188" s="4" t="n">
        <f aca="false">105+29.271*(273.15+B188)*LN(1007.23/D188)</f>
        <v>21178.4666334025</v>
      </c>
      <c r="M188" s="3" t="n">
        <f aca="false">M187-0.016/40</f>
        <v>4.10160000000001</v>
      </c>
      <c r="N188" s="12" t="n">
        <f aca="false">E188*(-F188)</f>
        <v>91.0646666666666</v>
      </c>
    </row>
    <row r="189" customFormat="false" ht="12.8" hidden="false" customHeight="false" outlineLevel="0" collapsed="false">
      <c r="A189" s="13" t="n">
        <v>0.657291666666667</v>
      </c>
      <c r="B189" s="2" t="n">
        <v>-32.8</v>
      </c>
      <c r="C189" s="2" t="n">
        <v>-25.25</v>
      </c>
      <c r="D189" s="2" t="n">
        <v>49.1982413681833</v>
      </c>
      <c r="E189" s="3" t="n">
        <v>3.958</v>
      </c>
      <c r="F189" s="2" t="n">
        <v>-23.6666666666667</v>
      </c>
      <c r="G189" s="1" t="n">
        <v>21408</v>
      </c>
      <c r="H189" s="1" t="n">
        <v>3.95</v>
      </c>
      <c r="I189" s="12" t="n">
        <f aca="false">H189*3.6</f>
        <v>14.22</v>
      </c>
      <c r="J189" s="4" t="n">
        <f aca="false">LN(D189/1007.23)*(-8645.2)+105</f>
        <v>26205.7353326813</v>
      </c>
      <c r="K189" s="4" t="n">
        <f aca="false">45438.5*(1-(D189/1007.23)^0.1903)+105</f>
        <v>19963.1425751146</v>
      </c>
      <c r="L189" s="4" t="n">
        <f aca="false">105+29.271*(273.15+B189)*LN(1007.23/D189)</f>
        <v>21345.2382663065</v>
      </c>
      <c r="M189" s="3" t="n">
        <f aca="false">M188-0.016/40</f>
        <v>4.10120000000001</v>
      </c>
      <c r="N189" s="12" t="n">
        <f aca="false">E189*(-F189)</f>
        <v>93.6726666666668</v>
      </c>
    </row>
    <row r="190" customFormat="false" ht="12.8" hidden="false" customHeight="false" outlineLevel="0" collapsed="false">
      <c r="A190" s="14" t="n">
        <v>0.657638888888889</v>
      </c>
      <c r="B190" s="2" t="n">
        <v>-33.1333333333333</v>
      </c>
      <c r="C190" s="2" t="n">
        <v>-25.45</v>
      </c>
      <c r="D190" s="2" t="n">
        <v>48.174943530171</v>
      </c>
      <c r="E190" s="3" t="n">
        <v>3.95466666666667</v>
      </c>
      <c r="F190" s="2" t="n">
        <v>-22.8333333333333</v>
      </c>
      <c r="G190" s="1" t="n">
        <v>21536</v>
      </c>
      <c r="H190" s="1" t="n">
        <v>4.38</v>
      </c>
      <c r="I190" s="12" t="n">
        <f aca="false">H190*3.6</f>
        <v>15.768</v>
      </c>
      <c r="J190" s="4" t="n">
        <f aca="false">LN(D190/1007.23)*(-8645.2)+105</f>
        <v>26387.4473753262</v>
      </c>
      <c r="K190" s="4" t="n">
        <f aca="false">45438.5*(1-(D190/1007.23)^0.1903)+105</f>
        <v>20065.2566924976</v>
      </c>
      <c r="L190" s="4" t="n">
        <f aca="false">105+29.271*(273.15+B190)*LN(1007.23/D190)</f>
        <v>21463.4493130886</v>
      </c>
      <c r="M190" s="3" t="n">
        <f aca="false">M189-0.016/40</f>
        <v>4.10080000000001</v>
      </c>
      <c r="N190" s="12" t="n">
        <f aca="false">E190*(-F190)</f>
        <v>90.2982222222222</v>
      </c>
    </row>
    <row r="191" customFormat="false" ht="12.8" hidden="false" customHeight="false" outlineLevel="0" collapsed="false">
      <c r="A191" s="13" t="n">
        <v>0.657986111111111</v>
      </c>
      <c r="B191" s="2" t="n">
        <v>-32.95</v>
      </c>
      <c r="C191" s="2" t="n">
        <v>-25.65</v>
      </c>
      <c r="D191" s="2" t="n">
        <v>47.1996127783156</v>
      </c>
      <c r="E191" s="3" t="n">
        <v>3.95133333333333</v>
      </c>
      <c r="F191" s="2" t="n">
        <v>-23.3333333333333</v>
      </c>
      <c r="G191" s="1" t="n">
        <v>21665</v>
      </c>
      <c r="H191" s="1" t="n">
        <v>4.62</v>
      </c>
      <c r="I191" s="12" t="n">
        <f aca="false">H191*3.6</f>
        <v>16.632</v>
      </c>
      <c r="J191" s="4" t="n">
        <f aca="false">LN(D191/1007.23)*(-8645.2)+105</f>
        <v>26564.2707062258</v>
      </c>
      <c r="K191" s="4" t="n">
        <f aca="false">45438.5*(1-(D191/1007.23)^0.1903)+105</f>
        <v>20164.2322300635</v>
      </c>
      <c r="L191" s="4" t="n">
        <f aca="false">105+29.271*(273.15+B191)*LN(1007.23/D191)</f>
        <v>21623.5690261223</v>
      </c>
      <c r="M191" s="3" t="n">
        <f aca="false">M190-0.016/40</f>
        <v>4.10040000000001</v>
      </c>
      <c r="N191" s="12" t="n">
        <f aca="false">E191*(-F191)</f>
        <v>92.1977777777776</v>
      </c>
    </row>
    <row r="192" customFormat="false" ht="12.8" hidden="false" customHeight="false" outlineLevel="0" collapsed="false">
      <c r="A192" s="14" t="n">
        <v>0.658333333333333</v>
      </c>
      <c r="B192" s="2" t="n">
        <v>-33.05</v>
      </c>
      <c r="C192" s="2" t="n">
        <v>-25.8333333333333</v>
      </c>
      <c r="D192" s="2" t="n">
        <v>46.2402710551791</v>
      </c>
      <c r="E192" s="3" t="n">
        <v>3.948</v>
      </c>
      <c r="F192" s="2" t="n">
        <v>-23.6666666666667</v>
      </c>
      <c r="G192" s="1" t="n">
        <v>21799</v>
      </c>
      <c r="H192" s="1" t="n">
        <v>4.72</v>
      </c>
      <c r="I192" s="12" t="n">
        <f aca="false">H192*3.6</f>
        <v>16.992</v>
      </c>
      <c r="J192" s="4" t="n">
        <f aca="false">LN(D192/1007.23)*(-8645.2)+105</f>
        <v>26741.7964512548</v>
      </c>
      <c r="K192" s="4" t="n">
        <f aca="false">45438.5*(1-(D192/1007.23)^0.1903)+105</f>
        <v>20263.2141555426</v>
      </c>
      <c r="L192" s="4" t="n">
        <f aca="false">105+29.271*(273.15+B192)*LN(1007.23/D192)</f>
        <v>21758.9269315708</v>
      </c>
      <c r="M192" s="3" t="n">
        <f aca="false">M191-0.016/40</f>
        <v>4.10000000000001</v>
      </c>
      <c r="N192" s="12" t="n">
        <f aca="false">E192*(-F192)</f>
        <v>93.4360000000001</v>
      </c>
    </row>
    <row r="193" customFormat="false" ht="12.8" hidden="false" customHeight="false" outlineLevel="0" collapsed="false">
      <c r="A193" s="13" t="n">
        <v>0.658680555555556</v>
      </c>
      <c r="B193" s="2" t="n">
        <v>-33.2</v>
      </c>
      <c r="C193" s="2" t="n">
        <v>-26.0166666666667</v>
      </c>
      <c r="D193" s="2" t="n">
        <v>45.2969183607615</v>
      </c>
      <c r="E193" s="3" t="n">
        <v>3.94533333333333</v>
      </c>
      <c r="F193" s="2" t="n">
        <v>-23.8333333333333</v>
      </c>
      <c r="G193" s="1" t="n">
        <v>21935</v>
      </c>
      <c r="H193" s="1" t="n">
        <v>4.15</v>
      </c>
      <c r="I193" s="12" t="n">
        <f aca="false">H193*3.6</f>
        <v>14.94</v>
      </c>
      <c r="J193" s="4" t="n">
        <f aca="false">LN(D193/1007.23)*(-8645.2)+105</f>
        <v>26919.9920350807</v>
      </c>
      <c r="K193" s="4" t="n">
        <f aca="false">45438.5*(1-(D193/1007.23)^0.1903)+105</f>
        <v>20362.1813327686</v>
      </c>
      <c r="L193" s="4" t="n">
        <f aca="false">105+29.271*(273.15+B193)*LN(1007.23/D193)</f>
        <v>21890.1694078252</v>
      </c>
      <c r="M193" s="3" t="n">
        <f aca="false">M192-0.016/40</f>
        <v>4.09960000000001</v>
      </c>
      <c r="N193" s="12" t="n">
        <f aca="false">E193*(-F193)</f>
        <v>94.0304444444442</v>
      </c>
    </row>
    <row r="194" customFormat="false" ht="12.8" hidden="false" customHeight="false" outlineLevel="0" collapsed="false">
      <c r="A194" s="14" t="n">
        <v>0.659027777777778</v>
      </c>
      <c r="B194" s="2" t="n">
        <v>-33.4666666666667</v>
      </c>
      <c r="C194" s="2" t="n">
        <v>-26.2</v>
      </c>
      <c r="D194" s="2" t="n">
        <v>44.4015327525008</v>
      </c>
      <c r="E194" s="3" t="n">
        <v>3.94266666666667</v>
      </c>
      <c r="F194" s="2" t="n">
        <v>-22.6666666666667</v>
      </c>
      <c r="G194" s="1" t="n">
        <v>22080</v>
      </c>
      <c r="H194" s="1" t="n">
        <v>4.92</v>
      </c>
      <c r="I194" s="12" t="n">
        <f aca="false">H194*3.6</f>
        <v>17.712</v>
      </c>
      <c r="J194" s="4" t="n">
        <f aca="false">LN(D194/1007.23)*(-8645.2)+105</f>
        <v>27092.5935613507</v>
      </c>
      <c r="K194" s="4" t="n">
        <f aca="false">45438.5*(1-(D194/1007.23)^0.1903)+105</f>
        <v>20457.6722552586</v>
      </c>
      <c r="L194" s="4" t="n">
        <f aca="false">105+29.271*(273.15+B194)*LN(1007.23/D194)</f>
        <v>22006.0285730084</v>
      </c>
      <c r="M194" s="3" t="n">
        <f aca="false">M193-0.016/40</f>
        <v>4.09920000000001</v>
      </c>
      <c r="N194" s="12" t="n">
        <f aca="false">E194*(-F194)</f>
        <v>89.3671111111113</v>
      </c>
    </row>
    <row r="195" customFormat="false" ht="12.8" hidden="false" customHeight="false" outlineLevel="0" collapsed="false">
      <c r="A195" s="13" t="n">
        <v>0.659375</v>
      </c>
      <c r="B195" s="2" t="n">
        <v>-33.75</v>
      </c>
      <c r="C195" s="2" t="n">
        <v>-26.3833333333333</v>
      </c>
      <c r="D195" s="2" t="n">
        <v>43.4901581155211</v>
      </c>
      <c r="E195" s="3" t="n">
        <v>3.94</v>
      </c>
      <c r="F195" s="2" t="n">
        <v>-23.5</v>
      </c>
      <c r="G195" s="1" t="n">
        <v>22211</v>
      </c>
      <c r="H195" s="1" t="n">
        <v>4.42</v>
      </c>
      <c r="I195" s="12" t="n">
        <f aca="false">H195*3.6</f>
        <v>15.912</v>
      </c>
      <c r="J195" s="4" t="n">
        <f aca="false">LN(D195/1007.23)*(-8645.2)+105</f>
        <v>27271.8891999212</v>
      </c>
      <c r="K195" s="4" t="n">
        <f aca="false">45438.5*(1-(D195/1007.23)^0.1903)+105</f>
        <v>20556.4832275523</v>
      </c>
      <c r="L195" s="4" t="n">
        <f aca="false">105+29.271*(273.15+B195)*LN(1007.23/D195)</f>
        <v>22125.469404612</v>
      </c>
      <c r="M195" s="3" t="n">
        <f aca="false">M194-0.016/40</f>
        <v>4.09880000000001</v>
      </c>
      <c r="N195" s="12" t="n">
        <f aca="false">E195*(-F195)</f>
        <v>92.59</v>
      </c>
    </row>
    <row r="196" customFormat="false" ht="12.8" hidden="false" customHeight="false" outlineLevel="0" collapsed="false">
      <c r="A196" s="14" t="n">
        <v>0.659722222222222</v>
      </c>
      <c r="B196" s="2" t="n">
        <v>-33.4166666666667</v>
      </c>
      <c r="C196" s="2" t="n">
        <v>-26.55</v>
      </c>
      <c r="D196" s="2" t="n">
        <v>42.5627944498225</v>
      </c>
      <c r="E196" s="3" t="n">
        <v>3.93666666666667</v>
      </c>
      <c r="F196" s="2" t="n">
        <v>-24</v>
      </c>
      <c r="G196" s="1" t="n">
        <v>22350</v>
      </c>
      <c r="H196" s="1" t="n">
        <v>4.29</v>
      </c>
      <c r="I196" s="12" t="n">
        <f aca="false">H196*3.6</f>
        <v>15.444</v>
      </c>
      <c r="J196" s="4" t="n">
        <f aca="false">LN(D196/1007.23)*(-8645.2)+105</f>
        <v>27458.2292268492</v>
      </c>
      <c r="K196" s="4" t="n">
        <f aca="false">45438.5*(1-(D196/1007.23)^0.1903)+105</f>
        <v>20658.7639825176</v>
      </c>
      <c r="L196" s="4" t="n">
        <f aca="false">105+29.271*(273.15+B196)*LN(1007.23/D196)</f>
        <v>22307.3806368541</v>
      </c>
      <c r="M196" s="3" t="n">
        <f aca="false">M195-0.016/40</f>
        <v>4.09840000000001</v>
      </c>
      <c r="N196" s="12" t="n">
        <f aca="false">E196*(-F196)</f>
        <v>94.4800000000001</v>
      </c>
    </row>
    <row r="197" customFormat="false" ht="12.8" hidden="false" customHeight="false" outlineLevel="0" collapsed="false">
      <c r="A197" s="13" t="n">
        <v>0.660069444444445</v>
      </c>
      <c r="B197" s="2" t="n">
        <v>-32.9833333333333</v>
      </c>
      <c r="C197" s="2" t="n">
        <v>-26.75</v>
      </c>
      <c r="D197" s="2" t="n">
        <v>41.6833978702807</v>
      </c>
      <c r="E197" s="3" t="n">
        <v>3.93266666666667</v>
      </c>
      <c r="F197" s="2" t="n">
        <v>-23.8333333333333</v>
      </c>
      <c r="G197" s="1" t="n">
        <v>22482</v>
      </c>
      <c r="H197" s="1" t="n">
        <v>4.34</v>
      </c>
      <c r="I197" s="12" t="n">
        <f aca="false">H197*3.6</f>
        <v>15.624</v>
      </c>
      <c r="J197" s="4" t="n">
        <f aca="false">LN(D197/1007.23)*(-8645.2)+105</f>
        <v>27638.7201248775</v>
      </c>
      <c r="K197" s="4" t="n">
        <f aca="false">45438.5*(1-(D197/1007.23)^0.1903)+105</f>
        <v>20757.4350089405</v>
      </c>
      <c r="L197" s="4" t="n">
        <f aca="false">105+29.271*(273.15+B197)*LN(1007.23/D197)</f>
        <v>22494.2805810969</v>
      </c>
      <c r="M197" s="3" t="n">
        <f aca="false">M196-0.016/40</f>
        <v>4.09800000000001</v>
      </c>
      <c r="N197" s="12" t="n">
        <f aca="false">E197*(-F197)</f>
        <v>93.7285555555555</v>
      </c>
    </row>
    <row r="198" customFormat="false" ht="12.8" hidden="false" customHeight="false" outlineLevel="0" collapsed="false">
      <c r="A198" s="14" t="n">
        <v>0.660416666666667</v>
      </c>
      <c r="B198" s="2" t="n">
        <v>-32.4</v>
      </c>
      <c r="C198" s="2" t="n">
        <v>-26.9166666666667</v>
      </c>
      <c r="D198" s="2" t="n">
        <v>40.78801226202</v>
      </c>
      <c r="E198" s="3" t="n">
        <v>3.93</v>
      </c>
      <c r="F198" s="2" t="n">
        <v>-23.5</v>
      </c>
      <c r="G198" s="1" t="n">
        <v>22610</v>
      </c>
      <c r="H198" s="1" t="n">
        <v>4.18</v>
      </c>
      <c r="I198" s="12" t="n">
        <f aca="false">H198*3.6</f>
        <v>15.048</v>
      </c>
      <c r="J198" s="4" t="n">
        <f aca="false">LN(D198/1007.23)*(-8645.2)+105</f>
        <v>27826.4480129359</v>
      </c>
      <c r="K198" s="4" t="n">
        <f aca="false">45438.5*(1-(D198/1007.23)^0.1903)+105</f>
        <v>20859.6472974128</v>
      </c>
      <c r="L198" s="4" t="n">
        <f aca="false">105+29.271*(273.15+B198)*LN(1007.23/D198)</f>
        <v>22701.6845217444</v>
      </c>
      <c r="M198" s="3" t="n">
        <f aca="false">M197-0.016/40</f>
        <v>4.09760000000001</v>
      </c>
      <c r="N198" s="12" t="n">
        <f aca="false">E198*(-F198)</f>
        <v>92.355</v>
      </c>
    </row>
    <row r="199" customFormat="false" ht="12.8" hidden="false" customHeight="false" outlineLevel="0" collapsed="false">
      <c r="A199" s="13" t="n">
        <v>0.660763888888889</v>
      </c>
      <c r="B199" s="2" t="n">
        <v>-32.0166666666667</v>
      </c>
      <c r="C199" s="2" t="n">
        <v>-27.0666666666667</v>
      </c>
      <c r="D199" s="2" t="n">
        <v>39.956582768635</v>
      </c>
      <c r="E199" s="3" t="n">
        <v>3.92666666666667</v>
      </c>
      <c r="F199" s="2" t="n">
        <v>-23.5</v>
      </c>
      <c r="G199" s="1" t="n">
        <v>22746</v>
      </c>
      <c r="H199" s="1" t="n">
        <v>5.09</v>
      </c>
      <c r="I199" s="12" t="n">
        <f aca="false">H199*3.6</f>
        <v>18.324</v>
      </c>
      <c r="J199" s="4" t="n">
        <f aca="false">LN(D199/1007.23)*(-8645.2)+105</f>
        <v>28004.4940681611</v>
      </c>
      <c r="K199" s="4" t="n">
        <f aca="false">45438.5*(1-(D199/1007.23)^0.1903)+105</f>
        <v>20956.1986323195</v>
      </c>
      <c r="L199" s="4" t="n">
        <f aca="false">105+29.271*(273.15+B199)*LN(1007.23/D199)</f>
        <v>22883.0264244798</v>
      </c>
      <c r="M199" s="3" t="n">
        <f aca="false">M198-0.016/40</f>
        <v>4.09720000000001</v>
      </c>
      <c r="N199" s="12" t="n">
        <f aca="false">E199*(-F199)</f>
        <v>92.2766666666667</v>
      </c>
    </row>
    <row r="200" customFormat="false" ht="12.8" hidden="false" customHeight="false" outlineLevel="0" collapsed="false">
      <c r="A200" s="14" t="n">
        <v>0.661111111111111</v>
      </c>
      <c r="B200" s="2" t="n">
        <v>-31.7</v>
      </c>
      <c r="C200" s="2" t="n">
        <v>-27.25</v>
      </c>
      <c r="D200" s="2" t="n">
        <v>39.2050984188448</v>
      </c>
      <c r="E200" s="3" t="n">
        <v>3.92466666666667</v>
      </c>
      <c r="F200" s="2" t="n">
        <v>-23.6666666666667</v>
      </c>
      <c r="G200" s="1" t="n">
        <v>22874</v>
      </c>
      <c r="H200" s="1" t="n">
        <v>4.09</v>
      </c>
      <c r="I200" s="12" t="n">
        <f aca="false">H200*3.6</f>
        <v>14.724</v>
      </c>
      <c r="J200" s="4" t="n">
        <f aca="false">LN(D200/1007.23)*(-8645.2)+105</f>
        <v>28168.637314506</v>
      </c>
      <c r="K200" s="4" t="n">
        <f aca="false">45438.5*(1-(D200/1007.23)^0.1903)+105</f>
        <v>21044.8760985637</v>
      </c>
      <c r="L200" s="4" t="n">
        <f aca="false">105+29.271*(273.15+B200)*LN(1007.23/D200)</f>
        <v>23047.12721918</v>
      </c>
      <c r="M200" s="3" t="n">
        <f aca="false">M199-0.016/40</f>
        <v>4.09680000000001</v>
      </c>
      <c r="N200" s="12" t="n">
        <f aca="false">E200*(-F200)</f>
        <v>92.883777777778</v>
      </c>
    </row>
    <row r="201" customFormat="false" ht="12.8" hidden="false" customHeight="false" outlineLevel="0" collapsed="false">
      <c r="A201" s="13" t="n">
        <v>0.661458333333333</v>
      </c>
      <c r="B201" s="2" t="n">
        <v>-30.9666666666667</v>
      </c>
      <c r="C201" s="2" t="n">
        <v>-27.4</v>
      </c>
      <c r="D201" s="2" t="n">
        <v>38.3896579541788</v>
      </c>
      <c r="E201" s="3" t="n">
        <v>3.92066666666667</v>
      </c>
      <c r="F201" s="2" t="n">
        <v>-24.1666666666667</v>
      </c>
      <c r="G201" s="1" t="n">
        <v>23005</v>
      </c>
      <c r="H201" s="1" t="n">
        <v>4.23</v>
      </c>
      <c r="I201" s="12" t="n">
        <f aca="false">H201*3.6</f>
        <v>15.228</v>
      </c>
      <c r="J201" s="4" t="n">
        <f aca="false">LN(D201/1007.23)*(-8645.2)+105</f>
        <v>28350.3481869635</v>
      </c>
      <c r="K201" s="4" t="n">
        <f aca="false">45438.5*(1-(D201/1007.23)^0.1903)+105</f>
        <v>21142.6714200795</v>
      </c>
      <c r="L201" s="4" t="n">
        <f aca="false">105+29.271*(273.15+B201)*LN(1007.23/D201)</f>
        <v>23265.8076649644</v>
      </c>
      <c r="M201" s="3" t="n">
        <f aca="false">M200-0.016/40</f>
        <v>4.09640000000001</v>
      </c>
      <c r="N201" s="12" t="n">
        <f aca="false">E201*(-F201)</f>
        <v>94.7494444444447</v>
      </c>
    </row>
    <row r="202" customFormat="false" ht="12.8" hidden="false" customHeight="false" outlineLevel="0" collapsed="false">
      <c r="A202" s="14" t="n">
        <v>0.661805555555556</v>
      </c>
      <c r="B202" s="2" t="n">
        <v>-30.6333333333333</v>
      </c>
      <c r="C202" s="2" t="n">
        <v>-27.55</v>
      </c>
      <c r="D202" s="2" t="n">
        <v>37.6381736043885</v>
      </c>
      <c r="E202" s="3" t="n">
        <v>3.91666666666667</v>
      </c>
      <c r="F202" s="2" t="n">
        <v>-23.3333333333333</v>
      </c>
      <c r="G202" s="1" t="n">
        <v>23148</v>
      </c>
      <c r="H202" s="1" t="n">
        <v>4.98</v>
      </c>
      <c r="I202" s="12" t="n">
        <f aca="false">H202*3.6</f>
        <v>17.928</v>
      </c>
      <c r="J202" s="4" t="n">
        <f aca="false">LN(D202/1007.23)*(-8645.2)+105</f>
        <v>28521.2578119521</v>
      </c>
      <c r="K202" s="4" t="n">
        <f aca="false">45438.5*(1-(D202/1007.23)^0.1903)+105</f>
        <v>21234.29730146</v>
      </c>
      <c r="L202" s="4" t="n">
        <f aca="false">105+29.271*(273.15+B202)*LN(1007.23/D202)</f>
        <v>23438.0219493688</v>
      </c>
      <c r="M202" s="3" t="n">
        <f aca="false">M201-0.016/40</f>
        <v>4.09600000000001</v>
      </c>
      <c r="N202" s="12" t="n">
        <f aca="false">E202*(-F202)</f>
        <v>91.3888888888888</v>
      </c>
    </row>
    <row r="203" customFormat="false" ht="12.8" hidden="false" customHeight="false" outlineLevel="0" collapsed="false">
      <c r="A203" s="13" t="n">
        <v>0.662152777777778</v>
      </c>
      <c r="B203" s="2" t="n">
        <v>-30.6166666666667</v>
      </c>
      <c r="C203" s="2" t="n">
        <v>-27.7166666666667</v>
      </c>
      <c r="D203" s="2" t="n">
        <v>36.8866892545983</v>
      </c>
      <c r="E203" s="3" t="n">
        <v>3.914</v>
      </c>
      <c r="F203" s="2" t="n">
        <v>-23</v>
      </c>
      <c r="G203" s="1" t="n">
        <v>23297</v>
      </c>
      <c r="H203" s="1" t="n">
        <v>5.08</v>
      </c>
      <c r="I203" s="12" t="n">
        <f aca="false">H203*3.6</f>
        <v>18.288</v>
      </c>
      <c r="J203" s="4" t="n">
        <f aca="false">LN(D203/1007.23)*(-8645.2)+105</f>
        <v>28695.6144618517</v>
      </c>
      <c r="K203" s="4" t="n">
        <f aca="false">45438.5*(1-(D203/1007.23)^0.1903)+105</f>
        <v>21327.4166298303</v>
      </c>
      <c r="L203" s="4" t="n">
        <f aca="false">105+29.271*(273.15+B203)*LN(1007.23/D203)</f>
        <v>23582.8022222041</v>
      </c>
      <c r="M203" s="3" t="n">
        <f aca="false">M202-0.016/40</f>
        <v>4.09560000000001</v>
      </c>
      <c r="N203" s="12" t="n">
        <f aca="false">E203*(-F203)</f>
        <v>90.022</v>
      </c>
    </row>
    <row r="204" customFormat="false" ht="12.8" hidden="false" customHeight="false" outlineLevel="0" collapsed="false">
      <c r="A204" s="14" t="n">
        <v>0.6625</v>
      </c>
      <c r="B204" s="2" t="n">
        <v>-30.5833333333333</v>
      </c>
      <c r="C204" s="2" t="n">
        <v>-27.85</v>
      </c>
      <c r="D204" s="2" t="n">
        <v>36.1671829622459</v>
      </c>
      <c r="E204" s="3" t="n">
        <v>3.912</v>
      </c>
      <c r="F204" s="2" t="n">
        <v>-23.3333333333333</v>
      </c>
      <c r="G204" s="1" t="n">
        <v>23439</v>
      </c>
      <c r="H204" s="1" t="n">
        <v>4.61</v>
      </c>
      <c r="I204" s="12" t="n">
        <f aca="false">H204*3.6</f>
        <v>16.596</v>
      </c>
      <c r="J204" s="4" t="n">
        <f aca="false">LN(D204/1007.23)*(-8645.2)+105</f>
        <v>28865.9128115195</v>
      </c>
      <c r="K204" s="4" t="n">
        <f aca="false">45438.5*(1-(D204/1007.23)^0.1903)+105</f>
        <v>21418.0241683898</v>
      </c>
      <c r="L204" s="4" t="n">
        <f aca="false">105+29.271*(273.15+B204)*LN(1007.23/D204)</f>
        <v>23725.8923657015</v>
      </c>
      <c r="M204" s="3" t="n">
        <f aca="false">M203-0.016/40</f>
        <v>4.09520000000001</v>
      </c>
      <c r="N204" s="12" t="n">
        <f aca="false">E204*(-F204)</f>
        <v>91.2799999999999</v>
      </c>
    </row>
    <row r="205" customFormat="false" ht="12.8" hidden="false" customHeight="false" outlineLevel="0" collapsed="false">
      <c r="A205" s="13" t="n">
        <v>0.662847222222222</v>
      </c>
      <c r="B205" s="2" t="n">
        <v>-30.3166666666667</v>
      </c>
      <c r="C205" s="2" t="n">
        <v>-28.0166666666667</v>
      </c>
      <c r="D205" s="2" t="n">
        <v>35.4316876411746</v>
      </c>
      <c r="E205" s="3" t="n">
        <v>3.908</v>
      </c>
      <c r="F205" s="2" t="n">
        <v>-23.6666666666667</v>
      </c>
      <c r="G205" s="1" t="n">
        <v>23580</v>
      </c>
      <c r="H205" s="1" t="n">
        <v>5.26</v>
      </c>
      <c r="I205" s="12" t="n">
        <f aca="false">H205*3.6</f>
        <v>18.936</v>
      </c>
      <c r="J205" s="4" t="n">
        <f aca="false">LN(D205/1007.23)*(-8645.2)+105</f>
        <v>29043.5337087941</v>
      </c>
      <c r="K205" s="4" t="n">
        <f aca="false">45438.5*(1-(D205/1007.23)^0.1903)+105</f>
        <v>21512.1665018745</v>
      </c>
      <c r="L205" s="4" t="n">
        <f aca="false">105+29.271*(273.15+B205)*LN(1007.23/D205)</f>
        <v>23897.8977547655</v>
      </c>
      <c r="M205" s="3" t="n">
        <f aca="false">M204-0.016/40</f>
        <v>4.09480000000001</v>
      </c>
      <c r="N205" s="12" t="n">
        <f aca="false">E205*(-F205)</f>
        <v>92.4893333333335</v>
      </c>
    </row>
    <row r="206" customFormat="false" ht="12.8" hidden="false" customHeight="false" outlineLevel="0" collapsed="false">
      <c r="A206" s="14" t="n">
        <v>0.663194444444444</v>
      </c>
      <c r="B206" s="2" t="n">
        <v>-30.3666666666667</v>
      </c>
      <c r="C206" s="2" t="n">
        <v>-28.1333333333333</v>
      </c>
      <c r="D206" s="2" t="n">
        <v>34.6322362052275</v>
      </c>
      <c r="E206" s="3" t="n">
        <v>3.90666666666667</v>
      </c>
      <c r="F206" s="2" t="n">
        <v>-23.1666666666667</v>
      </c>
      <c r="G206" s="1" t="n">
        <v>23720</v>
      </c>
      <c r="H206" s="1" t="n">
        <v>4.61</v>
      </c>
      <c r="I206" s="12" t="n">
        <f aca="false">H206*3.6</f>
        <v>16.596</v>
      </c>
      <c r="J206" s="4" t="n">
        <f aca="false">LN(D206/1007.23)*(-8645.2)+105</f>
        <v>29240.8311806656</v>
      </c>
      <c r="K206" s="4" t="n">
        <f aca="false">45438.5*(1-(D206/1007.23)^0.1903)+105</f>
        <v>21616.3071832913</v>
      </c>
      <c r="L206" s="4" t="n">
        <f aca="false">105+29.271*(273.15+B206)*LN(1007.23/D206)</f>
        <v>24055.1808312996</v>
      </c>
      <c r="M206" s="3" t="n">
        <f aca="false">M205-0.016/40</f>
        <v>4.09440000000001</v>
      </c>
      <c r="N206" s="12" t="n">
        <f aca="false">E206*(-F206)</f>
        <v>90.5044444444446</v>
      </c>
    </row>
    <row r="207" customFormat="false" ht="12.8" hidden="false" customHeight="false" outlineLevel="0" collapsed="false">
      <c r="A207" s="13" t="n">
        <v>0.663541666666667</v>
      </c>
      <c r="B207" s="2" t="n">
        <v>-30.3333333333333</v>
      </c>
      <c r="C207" s="2" t="n">
        <v>-28.2833333333333</v>
      </c>
      <c r="D207" s="2" t="n">
        <v>33.9127299128751</v>
      </c>
      <c r="E207" s="3" t="n">
        <v>3.90333333333333</v>
      </c>
      <c r="F207" s="2" t="n">
        <v>-23.3333333333333</v>
      </c>
      <c r="G207" s="1" t="n">
        <v>23855</v>
      </c>
      <c r="H207" s="1" t="n">
        <v>5</v>
      </c>
      <c r="I207" s="12" t="n">
        <f aca="false">H207*3.6</f>
        <v>18</v>
      </c>
      <c r="J207" s="4" t="n">
        <f aca="false">LN(D207/1007.23)*(-8645.2)+105</f>
        <v>29422.3325986129</v>
      </c>
      <c r="K207" s="4" t="n">
        <f aca="false">45438.5*(1-(D207/1007.23)^0.1903)+105</f>
        <v>21711.7115486273</v>
      </c>
      <c r="L207" s="4" t="n">
        <f aca="false">105+29.271*(273.15+B207)*LN(1007.23/D207)</f>
        <v>24207.6870469452</v>
      </c>
      <c r="M207" s="3" t="n">
        <f aca="false">M206-0.016/40</f>
        <v>4.09400000000001</v>
      </c>
      <c r="N207" s="12" t="n">
        <f aca="false">E207*(-F207)</f>
        <v>91.0777777777776</v>
      </c>
    </row>
    <row r="208" customFormat="false" ht="12.8" hidden="false" customHeight="false" outlineLevel="0" collapsed="false">
      <c r="A208" s="13" t="n">
        <v>0.663888888888889</v>
      </c>
      <c r="B208" s="2" t="n">
        <v>-29.9333333333333</v>
      </c>
      <c r="C208" s="2" t="n">
        <v>-28.4166666666667</v>
      </c>
      <c r="D208" s="2" t="n">
        <v>33.1932236205228</v>
      </c>
      <c r="E208" s="3" t="n">
        <v>3.9</v>
      </c>
      <c r="F208" s="2" t="n">
        <v>-23.3333333333333</v>
      </c>
      <c r="G208" s="1" t="n">
        <v>23988</v>
      </c>
      <c r="H208" s="1" t="n">
        <v>4.65</v>
      </c>
      <c r="I208" s="12" t="n">
        <f aca="false">H208*3.6</f>
        <v>16.74</v>
      </c>
      <c r="J208" s="4" t="n">
        <f aca="false">LN(D208/1007.23)*(-8645.2)+105</f>
        <v>29607.726407916</v>
      </c>
      <c r="K208" s="4" t="n">
        <f aca="false">45438.5*(1-(D208/1007.23)^0.1903)+105</f>
        <v>21808.7691927866</v>
      </c>
      <c r="L208" s="4" t="n">
        <f aca="false">105+29.271*(273.15+B208)*LN(1007.23/D208)</f>
        <v>24400.0612831097</v>
      </c>
      <c r="M208" s="3" t="n">
        <f aca="false">M207-0.016/40</f>
        <v>4.09360000000001</v>
      </c>
      <c r="N208" s="12" t="n">
        <f aca="false">E208*(-F208)</f>
        <v>90.9999999999999</v>
      </c>
    </row>
    <row r="209" customFormat="false" ht="12.8" hidden="false" customHeight="false" outlineLevel="0" collapsed="false">
      <c r="A209" s="14" t="n">
        <v>0.664236111111111</v>
      </c>
      <c r="B209" s="2" t="n">
        <v>-29.6666666666667</v>
      </c>
      <c r="C209" s="2" t="n">
        <v>-28.5333333333333</v>
      </c>
      <c r="D209" s="2" t="n">
        <v>32.4897063568893</v>
      </c>
      <c r="E209" s="3" t="n">
        <v>3.89666666666667</v>
      </c>
      <c r="F209" s="2" t="n">
        <v>-23.5</v>
      </c>
      <c r="G209" s="1" t="n">
        <v>24129</v>
      </c>
      <c r="H209" s="1" t="n">
        <v>4.88</v>
      </c>
      <c r="I209" s="12" t="n">
        <f aca="false">H209*3.6</f>
        <v>17.568</v>
      </c>
      <c r="J209" s="4" t="n">
        <f aca="false">LN(D209/1007.23)*(-8645.2)+105</f>
        <v>29792.9276480563</v>
      </c>
      <c r="K209" s="4" t="n">
        <f aca="false">45438.5*(1-(D209/1007.23)^0.1903)+105</f>
        <v>21905.3313597511</v>
      </c>
      <c r="L209" s="4" t="n">
        <f aca="false">105+29.271*(273.15+B209)*LN(1007.23/D209)</f>
        <v>24579.3764915618</v>
      </c>
      <c r="M209" s="3" t="n">
        <f aca="false">M208-0.016/40</f>
        <v>4.09320000000001</v>
      </c>
      <c r="N209" s="12" t="n">
        <f aca="false">E209*(-F209)</f>
        <v>91.5716666666667</v>
      </c>
    </row>
    <row r="210" customFormat="false" ht="12.8" hidden="false" customHeight="false" outlineLevel="0" collapsed="false">
      <c r="A210" s="13" t="n">
        <v>0.664583333333333</v>
      </c>
      <c r="B210" s="2" t="n">
        <v>-29.6166666666667</v>
      </c>
      <c r="C210" s="2" t="n">
        <v>-28.65</v>
      </c>
      <c r="D210" s="2" t="n">
        <v>31.8181671506938</v>
      </c>
      <c r="E210" s="3" t="n">
        <v>3.89266666666667</v>
      </c>
      <c r="F210" s="2" t="n">
        <v>-23.3333333333333</v>
      </c>
      <c r="G210" s="1" t="n">
        <v>24274</v>
      </c>
      <c r="H210" s="1" t="n">
        <v>4.37</v>
      </c>
      <c r="I210" s="12" t="n">
        <f aca="false">H210*3.6</f>
        <v>15.732</v>
      </c>
      <c r="J210" s="4" t="n">
        <f aca="false">LN(D210/1007.23)*(-8645.2)+105</f>
        <v>29973.4903527551</v>
      </c>
      <c r="K210" s="4" t="n">
        <f aca="false">45438.5*(1-(D210/1007.23)^0.1903)+105</f>
        <v>21999.096808707</v>
      </c>
      <c r="L210" s="4" t="n">
        <f aca="false">105+29.271*(273.15+B210)*LN(1007.23/D210)</f>
        <v>24733.2867010202</v>
      </c>
      <c r="M210" s="3" t="n">
        <f aca="false">M209-0.016/40</f>
        <v>4.09280000000001</v>
      </c>
      <c r="N210" s="12" t="n">
        <f aca="false">E210*(-F210)</f>
        <v>90.8288888888888</v>
      </c>
    </row>
    <row r="211" customFormat="false" ht="12.8" hidden="false" customHeight="false" outlineLevel="0" collapsed="false">
      <c r="A211" s="14" t="n">
        <v>0.664930555555556</v>
      </c>
      <c r="B211" s="2" t="n">
        <v>-29.2166666666667</v>
      </c>
      <c r="C211" s="2" t="n">
        <v>-28.7833333333333</v>
      </c>
      <c r="D211" s="2" t="n">
        <v>31.1786060019361</v>
      </c>
      <c r="E211" s="3" t="n">
        <v>3.89133333333333</v>
      </c>
      <c r="F211" s="2" t="n">
        <v>-23.8333333333333</v>
      </c>
      <c r="G211" s="1" t="n">
        <v>24407</v>
      </c>
      <c r="H211" s="1" t="n">
        <v>5.07</v>
      </c>
      <c r="I211" s="12" t="n">
        <f aca="false">H211*3.6</f>
        <v>18.252</v>
      </c>
      <c r="J211" s="4" t="n">
        <f aca="false">LN(D211/1007.23)*(-8645.2)+105</f>
        <v>30149.033439768</v>
      </c>
      <c r="K211" s="4" t="n">
        <f aca="false">45438.5*(1-(D211/1007.23)^0.1903)+105</f>
        <v>22089.8990052544</v>
      </c>
      <c r="L211" s="4" t="n">
        <f aca="false">105+29.271*(273.15+B211)*LN(1007.23/D211)</f>
        <v>24918.7214130518</v>
      </c>
      <c r="M211" s="3" t="n">
        <f aca="false">M210-0.016/40</f>
        <v>4.09240000000001</v>
      </c>
      <c r="N211" s="12" t="n">
        <f aca="false">E211*(-F211)</f>
        <v>92.7434444444442</v>
      </c>
    </row>
    <row r="212" customFormat="false" ht="12.8" hidden="false" customHeight="false" outlineLevel="0" collapsed="false">
      <c r="A212" s="13" t="n">
        <v>0.665277777777778</v>
      </c>
      <c r="B212" s="2" t="n">
        <v>-28.95</v>
      </c>
      <c r="C212" s="2" t="n">
        <v>-28.9</v>
      </c>
      <c r="D212" s="2" t="n">
        <v>30.5550338818974</v>
      </c>
      <c r="E212" s="3" t="n">
        <v>3.888</v>
      </c>
      <c r="F212" s="2" t="n">
        <v>-24</v>
      </c>
      <c r="G212" s="1" t="n">
        <v>24554</v>
      </c>
      <c r="H212" s="1" t="n">
        <v>4.62</v>
      </c>
      <c r="I212" s="12" t="n">
        <f aca="false">H212*3.6</f>
        <v>16.632</v>
      </c>
      <c r="J212" s="4" t="n">
        <f aca="false">LN(D212/1007.23)*(-8645.2)+105</f>
        <v>30323.6898850694</v>
      </c>
      <c r="K212" s="4" t="n">
        <f aca="false">45438.5*(1-(D212/1007.23)^0.1903)+105</f>
        <v>22179.8950289574</v>
      </c>
      <c r="L212" s="4" t="n">
        <f aca="false">105+29.271*(273.15+B212)*LN(1007.23/D212)</f>
        <v>25090.2561572938</v>
      </c>
      <c r="M212" s="3" t="n">
        <f aca="false">M211-0.016/40</f>
        <v>4.09200000000001</v>
      </c>
      <c r="N212" s="12" t="n">
        <f aca="false">E212*(-F212)</f>
        <v>93.312</v>
      </c>
    </row>
    <row r="213" customFormat="false" ht="12.8" hidden="false" customHeight="false" outlineLevel="0" collapsed="false">
      <c r="A213" s="14" t="n">
        <v>0.665625</v>
      </c>
      <c r="B213" s="2" t="n">
        <v>-28.4666666666667</v>
      </c>
      <c r="C213" s="2" t="n">
        <v>-29</v>
      </c>
      <c r="D213" s="2" t="n">
        <v>29.9634398192965</v>
      </c>
      <c r="E213" s="3" t="n">
        <v>3.884</v>
      </c>
      <c r="F213" s="2" t="n">
        <v>-23.5</v>
      </c>
      <c r="G213" s="1" t="n">
        <v>24692</v>
      </c>
      <c r="H213" s="1" t="n">
        <v>4.63</v>
      </c>
      <c r="I213" s="12" t="n">
        <f aca="false">H213*3.6</f>
        <v>16.668</v>
      </c>
      <c r="J213" s="4" t="n">
        <f aca="false">LN(D213/1007.23)*(-8645.2)+105</f>
        <v>30492.716352431</v>
      </c>
      <c r="K213" s="4" t="n">
        <f aca="false">45438.5*(1-(D213/1007.23)^0.1903)+105</f>
        <v>22266.6612404832</v>
      </c>
      <c r="L213" s="4" t="n">
        <f aca="false">105+29.271*(273.15+B213)*LN(1007.23/D213)</f>
        <v>25279.7384456362</v>
      </c>
      <c r="M213" s="3" t="n">
        <f aca="false">M212-0.016/40</f>
        <v>4.09160000000001</v>
      </c>
      <c r="N213" s="12" t="n">
        <f aca="false">E213*(-F213)</f>
        <v>91.274</v>
      </c>
    </row>
    <row r="214" customFormat="false" ht="12.8" hidden="false" customHeight="false" outlineLevel="0" collapsed="false">
      <c r="A214" s="13" t="n">
        <v>0.665972222222222</v>
      </c>
      <c r="B214" s="2" t="n">
        <v>-28.3333333333333</v>
      </c>
      <c r="C214" s="2" t="n">
        <v>-29.1</v>
      </c>
      <c r="D214" s="2" t="n">
        <v>29.3238786705389</v>
      </c>
      <c r="E214" s="3" t="n">
        <v>3.88266666666667</v>
      </c>
      <c r="F214" s="2" t="n">
        <v>-24.1666666666667</v>
      </c>
      <c r="G214" s="1" t="n">
        <v>24832</v>
      </c>
      <c r="H214" s="1" t="n">
        <v>3.91</v>
      </c>
      <c r="I214" s="12" t="n">
        <f aca="false">H214*3.6</f>
        <v>14.076</v>
      </c>
      <c r="J214" s="4" t="n">
        <f aca="false">LN(D214/1007.23)*(-8645.2)+105</f>
        <v>30679.243544887</v>
      </c>
      <c r="K214" s="4" t="n">
        <f aca="false">45438.5*(1-(D214/1007.23)^0.1903)+105</f>
        <v>22362.0371341729</v>
      </c>
      <c r="L214" s="4" t="n">
        <f aca="false">105+29.271*(273.15+B214)*LN(1007.23/D214)</f>
        <v>25448.0695871394</v>
      </c>
      <c r="M214" s="3" t="n">
        <f aca="false">M213-0.016/40</f>
        <v>4.09120000000001</v>
      </c>
      <c r="N214" s="12" t="n">
        <f aca="false">E214*(-F214)</f>
        <v>93.8311111111113</v>
      </c>
    </row>
    <row r="215" customFormat="false" ht="12.8" hidden="false" customHeight="false" outlineLevel="0" collapsed="false">
      <c r="A215" s="14" t="n">
        <v>0.666319444444445</v>
      </c>
      <c r="B215" s="2" t="n">
        <v>-28.15</v>
      </c>
      <c r="C215" s="2" t="n">
        <v>-29.2166666666667</v>
      </c>
      <c r="D215" s="2" t="n">
        <v>28.7162955792191</v>
      </c>
      <c r="E215" s="3" t="n">
        <v>3.87933333333333</v>
      </c>
      <c r="F215" s="2" t="n">
        <v>-24</v>
      </c>
      <c r="G215" s="1" t="n">
        <v>24975</v>
      </c>
      <c r="H215" s="1" t="n">
        <v>4.95</v>
      </c>
      <c r="I215" s="12" t="n">
        <f aca="false">H215*3.6</f>
        <v>17.82</v>
      </c>
      <c r="J215" s="4" t="n">
        <f aca="false">LN(D215/1007.23)*(-8645.2)+105</f>
        <v>30860.2515895524</v>
      </c>
      <c r="K215" s="4" t="n">
        <f aca="false">45438.5*(1-(D215/1007.23)^0.1903)+105</f>
        <v>22454.2173132527</v>
      </c>
      <c r="L215" s="4" t="n">
        <f aca="false">105+29.271*(273.15+B215)*LN(1007.23/D215)</f>
        <v>25617.1983844282</v>
      </c>
      <c r="M215" s="3" t="n">
        <f aca="false">M214-0.016/40</f>
        <v>4.09080000000001</v>
      </c>
      <c r="N215" s="12" t="n">
        <f aca="false">E215*(-F215)</f>
        <v>93.1039999999999</v>
      </c>
    </row>
    <row r="216" customFormat="false" ht="12.8" hidden="false" customHeight="false" outlineLevel="0" collapsed="false">
      <c r="A216" s="13" t="n">
        <v>0.666666666666667</v>
      </c>
      <c r="B216" s="2" t="n">
        <v>-27.85</v>
      </c>
      <c r="C216" s="2" t="n">
        <v>-29.3166666666667</v>
      </c>
      <c r="D216" s="2" t="n">
        <v>28.0927234591804</v>
      </c>
      <c r="E216" s="3" t="n">
        <v>3.87533333333333</v>
      </c>
      <c r="F216" s="2" t="n">
        <v>-23.3333333333333</v>
      </c>
      <c r="G216" s="1" t="n">
        <v>25127</v>
      </c>
      <c r="H216" s="1" t="n">
        <v>5</v>
      </c>
      <c r="I216" s="12" t="n">
        <f aca="false">H216*3.6</f>
        <v>18</v>
      </c>
      <c r="J216" s="4" t="n">
        <f aca="false">LN(D216/1007.23)*(-8645.2)+105</f>
        <v>31050.0496994203</v>
      </c>
      <c r="K216" s="4" t="n">
        <f aca="false">45438.5*(1-(D216/1007.23)^0.1903)+105</f>
        <v>22550.4802637824</v>
      </c>
      <c r="L216" s="4" t="n">
        <f aca="false">105+29.271*(273.15+B216)*LN(1007.23/D216)</f>
        <v>25806.0725551867</v>
      </c>
      <c r="M216" s="3" t="n">
        <f aca="false">M215-0.016/40</f>
        <v>4.09040000000001</v>
      </c>
      <c r="N216" s="12" t="n">
        <f aca="false">E216*(-F216)</f>
        <v>90.4244444444443</v>
      </c>
    </row>
    <row r="217" customFormat="false" ht="12.8" hidden="false" customHeight="false" outlineLevel="0" collapsed="false">
      <c r="A217" s="14" t="n">
        <v>0.667013888888889</v>
      </c>
      <c r="B217" s="2" t="n">
        <v>-27.75</v>
      </c>
      <c r="C217" s="2" t="n">
        <v>-29.4</v>
      </c>
      <c r="D217" s="2" t="n">
        <v>27.4851403678606</v>
      </c>
      <c r="E217" s="3" t="n">
        <v>3.874</v>
      </c>
      <c r="F217" s="2" t="n">
        <v>-23.8333333333333</v>
      </c>
      <c r="G217" s="1" t="n">
        <v>25269</v>
      </c>
      <c r="H217" s="1" t="n">
        <v>4.5</v>
      </c>
      <c r="I217" s="12" t="n">
        <f aca="false">H217*3.6</f>
        <v>16.2</v>
      </c>
      <c r="J217" s="4" t="n">
        <f aca="false">LN(D217/1007.23)*(-8645.2)+105</f>
        <v>31239.0777132796</v>
      </c>
      <c r="K217" s="4" t="n">
        <f aca="false">45438.5*(1-(D217/1007.23)^0.1903)+105</f>
        <v>22645.9537336197</v>
      </c>
      <c r="L217" s="4" t="n">
        <f aca="false">105+29.271*(273.15+B217)*LN(1007.23/D217)</f>
        <v>25973.6091100406</v>
      </c>
      <c r="M217" s="3" t="n">
        <f aca="false">M216-0.016/40</f>
        <v>4.09000000000001</v>
      </c>
      <c r="N217" s="12" t="n">
        <f aca="false">E217*(-F217)</f>
        <v>92.3303333333332</v>
      </c>
    </row>
    <row r="218" customFormat="false" ht="12.8" hidden="false" customHeight="false" outlineLevel="0" collapsed="false">
      <c r="A218" s="13" t="n">
        <v>0.667361111111111</v>
      </c>
      <c r="B218" s="2" t="n">
        <v>-27.75</v>
      </c>
      <c r="C218" s="2" t="n">
        <v>-29.5</v>
      </c>
      <c r="D218" s="2" t="n">
        <v>26.9095353339787</v>
      </c>
      <c r="E218" s="3" t="n">
        <v>3.87066666666667</v>
      </c>
      <c r="F218" s="2" t="n">
        <v>-24</v>
      </c>
      <c r="G218" s="1" t="n">
        <v>25409</v>
      </c>
      <c r="H218" s="1" t="n">
        <v>5.25</v>
      </c>
      <c r="I218" s="12" t="n">
        <f aca="false">H218*3.6</f>
        <v>18.9</v>
      </c>
      <c r="J218" s="4" t="n">
        <f aca="false">LN(D218/1007.23)*(-8645.2)+105</f>
        <v>31422.0517389971</v>
      </c>
      <c r="K218" s="4" t="n">
        <f aca="false">45438.5*(1-(D218/1007.23)^0.1903)+105</f>
        <v>22737.9918728048</v>
      </c>
      <c r="L218" s="4" t="n">
        <f aca="false">105+29.271*(273.15+B218)*LN(1007.23/D218)</f>
        <v>26125.6381372745</v>
      </c>
      <c r="M218" s="3" t="n">
        <f aca="false">M217-0.016/40</f>
        <v>4.08960000000001</v>
      </c>
      <c r="N218" s="12" t="n">
        <f aca="false">E218*(-F218)</f>
        <v>92.8960000000001</v>
      </c>
    </row>
    <row r="219" customFormat="false" ht="12.8" hidden="false" customHeight="false" outlineLevel="0" collapsed="false">
      <c r="A219" s="14" t="n">
        <v>0.667708333333333</v>
      </c>
      <c r="B219" s="2" t="n">
        <v>-27.7</v>
      </c>
      <c r="C219" s="2" t="n">
        <v>-29.5833333333333</v>
      </c>
      <c r="D219" s="2" t="n">
        <v>26.3339303000968</v>
      </c>
      <c r="E219" s="3" t="n">
        <v>3.86733333333333</v>
      </c>
      <c r="F219" s="2" t="n">
        <v>-24.1666666666667</v>
      </c>
      <c r="G219" s="1" t="n">
        <v>25553</v>
      </c>
      <c r="H219" s="1" t="n">
        <v>4.47</v>
      </c>
      <c r="I219" s="12" t="n">
        <f aca="false">H219*3.6</f>
        <v>16.092</v>
      </c>
      <c r="J219" s="4" t="n">
        <f aca="false">LN(D219/1007.23)*(-8645.2)+105</f>
        <v>31608.9822648837</v>
      </c>
      <c r="K219" s="4" t="n">
        <f aca="false">45438.5*(1-(D219/1007.23)^0.1903)+105</f>
        <v>22831.6381512867</v>
      </c>
      <c r="L219" s="4" t="n">
        <f aca="false">105+29.271*(273.15+B219)*LN(1007.23/D219)</f>
        <v>26286.2878561132</v>
      </c>
      <c r="M219" s="3" t="n">
        <f aca="false">M218-0.016/40</f>
        <v>4.08920000000001</v>
      </c>
      <c r="N219" s="12" t="n">
        <f aca="false">E219*(-F219)</f>
        <v>93.4605555555556</v>
      </c>
    </row>
    <row r="220" customFormat="false" ht="12.8" hidden="false" customHeight="false" outlineLevel="0" collapsed="false">
      <c r="A220" s="13" t="n">
        <v>0.668055555555556</v>
      </c>
      <c r="B220" s="2" t="n">
        <v>-27.2833333333333</v>
      </c>
      <c r="C220" s="2" t="n">
        <v>-29.6666666666667</v>
      </c>
      <c r="D220" s="2" t="n">
        <v>25.8382704098096</v>
      </c>
      <c r="E220" s="3" t="n">
        <v>3.866</v>
      </c>
      <c r="F220" s="2" t="n">
        <v>-24</v>
      </c>
      <c r="G220" s="1" t="n">
        <v>25692</v>
      </c>
      <c r="H220" s="1" t="n">
        <v>5.79</v>
      </c>
      <c r="I220" s="12" t="n">
        <f aca="false">H220*3.6</f>
        <v>20.844</v>
      </c>
      <c r="J220" s="4" t="n">
        <f aca="false">LN(D220/1007.23)*(-8645.2)+105</f>
        <v>31773.253955712</v>
      </c>
      <c r="K220" s="4" t="n">
        <f aca="false">45438.5*(1-(D220/1007.23)^0.1903)+105</f>
        <v>22913.6155709605</v>
      </c>
      <c r="L220" s="4" t="n">
        <f aca="false">105+29.271*(273.15+B220)*LN(1007.23/D220)</f>
        <v>26467.4814552263</v>
      </c>
      <c r="M220" s="3" t="n">
        <f aca="false">M219-0.016/40</f>
        <v>4.08880000000001</v>
      </c>
      <c r="N220" s="12" t="n">
        <f aca="false">E220*(-F220)</f>
        <v>92.784</v>
      </c>
    </row>
    <row r="221" customFormat="false" ht="12.8" hidden="false" customHeight="false" outlineLevel="0" collapsed="false">
      <c r="A221" s="14" t="n">
        <v>0.668402777777778</v>
      </c>
      <c r="B221" s="2" t="n">
        <v>-26.8666666666667</v>
      </c>
      <c r="C221" s="2" t="n">
        <v>-29.7666666666667</v>
      </c>
      <c r="D221" s="2" t="n">
        <v>25.2786544046467</v>
      </c>
      <c r="E221" s="3" t="n">
        <v>3.86266666666667</v>
      </c>
      <c r="F221" s="2" t="n">
        <v>-24.1666666666667</v>
      </c>
      <c r="G221" s="1" t="n">
        <v>25841</v>
      </c>
      <c r="H221" s="1" t="n">
        <v>5.03</v>
      </c>
      <c r="I221" s="12" t="n">
        <f aca="false">H221*3.6</f>
        <v>18.108</v>
      </c>
      <c r="J221" s="4" t="n">
        <f aca="false">LN(D221/1007.23)*(-8645.2)+105</f>
        <v>31962.5527291721</v>
      </c>
      <c r="K221" s="4" t="n">
        <f aca="false">45438.5*(1-(D221/1007.23)^0.1903)+105</f>
        <v>23007.7155151987</v>
      </c>
      <c r="L221" s="4" t="n">
        <f aca="false">105+29.271*(273.15+B221)*LN(1007.23/D221)</f>
        <v>26670.0078425992</v>
      </c>
      <c r="M221" s="3" t="n">
        <f aca="false">M220-0.016/40</f>
        <v>4.08840000000001</v>
      </c>
      <c r="N221" s="12" t="n">
        <f aca="false">E221*(-F221)</f>
        <v>93.347777777778</v>
      </c>
    </row>
    <row r="222" customFormat="false" ht="12.8" hidden="false" customHeight="false" outlineLevel="0" collapsed="false">
      <c r="A222" s="13" t="n">
        <v>0.66875</v>
      </c>
      <c r="B222" s="2" t="n">
        <v>-26.7333333333333</v>
      </c>
      <c r="C222" s="2" t="n">
        <v>-29.85</v>
      </c>
      <c r="D222" s="2" t="n">
        <v>24.7510164569216</v>
      </c>
      <c r="E222" s="3" t="n">
        <v>3.85933333333333</v>
      </c>
      <c r="F222" s="2" t="n">
        <v>-24</v>
      </c>
      <c r="G222" s="1" t="n">
        <v>26000</v>
      </c>
      <c r="H222" s="1" t="n">
        <v>5.13</v>
      </c>
      <c r="I222" s="12" t="n">
        <f aca="false">H222*3.6</f>
        <v>18.468</v>
      </c>
      <c r="J222" s="4" t="n">
        <f aca="false">LN(D222/1007.23)*(-8645.2)+105</f>
        <v>32144.9127024807</v>
      </c>
      <c r="K222" s="4" t="n">
        <f aca="false">45438.5*(1-(D222/1007.23)^0.1903)+105</f>
        <v>23097.9961439136</v>
      </c>
      <c r="L222" s="4" t="n">
        <f aca="false">105+29.271*(273.15+B222)*LN(1007.23/D222)</f>
        <v>26836.5362079557</v>
      </c>
      <c r="M222" s="3" t="n">
        <f aca="false">M221-0.016/40</f>
        <v>4.08800000000001</v>
      </c>
      <c r="N222" s="12" t="n">
        <f aca="false">E222*(-F222)</f>
        <v>92.6239999999999</v>
      </c>
    </row>
    <row r="223" customFormat="false" ht="12.8" hidden="false" customHeight="false" outlineLevel="0" collapsed="false">
      <c r="A223" s="14" t="n">
        <v>0.669097222222222</v>
      </c>
      <c r="B223" s="2" t="n">
        <v>-26.85</v>
      </c>
      <c r="C223" s="2" t="n">
        <v>-29.9166666666667</v>
      </c>
      <c r="D223" s="2" t="n">
        <v>24.2233785091965</v>
      </c>
      <c r="E223" s="3" t="n">
        <v>3.85666666666667</v>
      </c>
      <c r="F223" s="2" t="n">
        <v>-23.3333333333333</v>
      </c>
      <c r="G223" s="1" t="n">
        <v>26144</v>
      </c>
      <c r="H223" s="1" t="n">
        <v>4.5</v>
      </c>
      <c r="I223" s="12" t="n">
        <f aca="false">H223*3.6</f>
        <v>16.2</v>
      </c>
      <c r="J223" s="4" t="n">
        <f aca="false">LN(D223/1007.23)*(-8645.2)+105</f>
        <v>32331.2023786506</v>
      </c>
      <c r="K223" s="4" t="n">
        <f aca="false">45438.5*(1-(D223/1007.23)^0.1903)+105</f>
        <v>23189.8488064933</v>
      </c>
      <c r="L223" s="4" t="n">
        <f aca="false">105+29.271*(273.15+B223)*LN(1007.23/D223)</f>
        <v>26979.2316809346</v>
      </c>
      <c r="M223" s="3" t="n">
        <f aca="false">M222-0.016/40</f>
        <v>4.08760000000001</v>
      </c>
      <c r="N223" s="12" t="n">
        <f aca="false">E223*(-F223)</f>
        <v>89.9888888888888</v>
      </c>
    </row>
    <row r="224" customFormat="false" ht="12.8" hidden="false" customHeight="false" outlineLevel="0" collapsed="false">
      <c r="A224" s="13" t="n">
        <v>0.669444444444445</v>
      </c>
      <c r="B224" s="2" t="n">
        <v>-26.3</v>
      </c>
      <c r="C224" s="2" t="n">
        <v>-30</v>
      </c>
      <c r="D224" s="2" t="n">
        <v>23.7437076476283</v>
      </c>
      <c r="E224" s="3" t="n">
        <v>3.85466666666667</v>
      </c>
      <c r="F224" s="2" t="n">
        <v>-24.5</v>
      </c>
      <c r="G224" s="1" t="n">
        <v>26291</v>
      </c>
      <c r="H224" s="1" t="n">
        <v>4.62</v>
      </c>
      <c r="I224" s="12" t="n">
        <f aca="false">H224*3.6</f>
        <v>16.632</v>
      </c>
      <c r="J224" s="4" t="n">
        <f aca="false">LN(D224/1007.23)*(-8645.2)+105</f>
        <v>32504.112142463</v>
      </c>
      <c r="K224" s="4" t="n">
        <f aca="false">45438.5*(1-(D224/1007.23)^0.1903)+105</f>
        <v>23274.7679300442</v>
      </c>
      <c r="L224" s="4" t="n">
        <f aca="false">105+29.271*(273.15+B224)*LN(1007.23/D224)</f>
        <v>27183.7589048506</v>
      </c>
      <c r="M224" s="3" t="n">
        <f aca="false">M223-0.016/40</f>
        <v>4.08720000000001</v>
      </c>
      <c r="N224" s="12" t="n">
        <f aca="false">E224*(-F224)</f>
        <v>94.4393333333334</v>
      </c>
    </row>
    <row r="225" customFormat="false" ht="12.8" hidden="false" customHeight="false" outlineLevel="0" collapsed="false">
      <c r="A225" s="14" t="n">
        <v>0.669791666666667</v>
      </c>
      <c r="B225" s="2" t="n">
        <v>-25.85</v>
      </c>
      <c r="C225" s="2" t="n">
        <v>-30.0666666666667</v>
      </c>
      <c r="D225" s="2" t="n">
        <v>23.1681026137464</v>
      </c>
      <c r="E225" s="3" t="n">
        <v>3.85133333333333</v>
      </c>
      <c r="F225" s="2" t="n">
        <v>-24.1666666666667</v>
      </c>
      <c r="G225" s="1" t="n">
        <v>26434</v>
      </c>
      <c r="H225" s="1" t="n">
        <v>5.02</v>
      </c>
      <c r="I225" s="12" t="n">
        <f aca="false">H225*3.6</f>
        <v>18.072</v>
      </c>
      <c r="J225" s="4" t="n">
        <f aca="false">LN(D225/1007.23)*(-8645.2)+105</f>
        <v>32716.2749372647</v>
      </c>
      <c r="K225" s="4" t="n">
        <f aca="false">45438.5*(1-(D225/1007.23)^0.1903)+105</f>
        <v>23378.524293231</v>
      </c>
      <c r="L225" s="4" t="n">
        <f aca="false">105+29.271*(273.15+B225)*LN(1007.23/D225)</f>
        <v>27410.7688283335</v>
      </c>
      <c r="M225" s="3" t="n">
        <f aca="false">M224-0.016/40</f>
        <v>4.08680000000001</v>
      </c>
      <c r="N225" s="12" t="n">
        <f aca="false">E225*(-F225)</f>
        <v>93.0738888888889</v>
      </c>
    </row>
    <row r="226" customFormat="false" ht="12.8" hidden="false" customHeight="false" outlineLevel="0" collapsed="false">
      <c r="A226" s="13" t="n">
        <v>0.670138888888889</v>
      </c>
      <c r="B226" s="2" t="n">
        <v>-25.6666666666667</v>
      </c>
      <c r="C226" s="2" t="n">
        <v>-30.1166666666667</v>
      </c>
      <c r="D226" s="2" t="n">
        <v>22.7044207808971</v>
      </c>
      <c r="E226" s="3" t="n">
        <v>3.848</v>
      </c>
      <c r="F226" s="2" t="n">
        <v>-24.3333333333333</v>
      </c>
      <c r="G226" s="1" t="n">
        <v>26586</v>
      </c>
      <c r="H226" s="1" t="n">
        <v>5.02</v>
      </c>
      <c r="I226" s="12" t="n">
        <f aca="false">H226*3.6</f>
        <v>18.072</v>
      </c>
      <c r="J226" s="4" t="n">
        <f aca="false">LN(D226/1007.23)*(-8645.2)+105</f>
        <v>32891.0531450889</v>
      </c>
      <c r="K226" s="4" t="n">
        <f aca="false">45438.5*(1-(D226/1007.23)^0.1903)+105</f>
        <v>23463.6347912643</v>
      </c>
      <c r="L226" s="4" t="n">
        <f aca="false">105+29.271*(273.15+B226)*LN(1007.23/D226)</f>
        <v>27577.4638322332</v>
      </c>
      <c r="M226" s="3" t="n">
        <f aca="false">M225-0.016/40</f>
        <v>4.08640000000001</v>
      </c>
      <c r="N226" s="12" t="n">
        <f aca="false">E226*(-F226)</f>
        <v>93.6346666666665</v>
      </c>
    </row>
    <row r="227" customFormat="false" ht="12.8" hidden="false" customHeight="false" outlineLevel="0" collapsed="false">
      <c r="A227" s="14" t="n">
        <v>0.670486111111111</v>
      </c>
      <c r="B227" s="2" t="n">
        <v>-25.45</v>
      </c>
      <c r="C227" s="2" t="n">
        <v>-30.2</v>
      </c>
      <c r="D227" s="2" t="n">
        <v>22.1927718618909</v>
      </c>
      <c r="E227" s="3" t="n">
        <v>3.84466666666667</v>
      </c>
      <c r="F227" s="2" t="n">
        <v>-24.1666666666667</v>
      </c>
      <c r="G227" s="1" t="n">
        <v>26733</v>
      </c>
      <c r="H227" s="1" t="n">
        <v>4.59</v>
      </c>
      <c r="I227" s="12" t="n">
        <f aca="false">H227*3.6</f>
        <v>16.524</v>
      </c>
      <c r="J227" s="4" t="n">
        <f aca="false">LN(D227/1007.23)*(-8645.2)+105</f>
        <v>33088.1032710652</v>
      </c>
      <c r="K227" s="4" t="n">
        <f aca="false">45438.5*(1-(D227/1007.23)^0.1903)+105</f>
        <v>23559.1990158703</v>
      </c>
      <c r="L227" s="4" t="n">
        <f aca="false">105+29.271*(273.15+B227)*LN(1007.23/D227)</f>
        <v>27766.774465066</v>
      </c>
      <c r="M227" s="3" t="n">
        <f aca="false">M226-0.016/40</f>
        <v>4.08600000000001</v>
      </c>
      <c r="N227" s="12" t="n">
        <f aca="false">E227*(-F227)</f>
        <v>92.912777777778</v>
      </c>
    </row>
    <row r="228" customFormat="false" ht="12.8" hidden="false" customHeight="false" outlineLevel="0" collapsed="false">
      <c r="A228" s="13" t="n">
        <v>0.670833333333333</v>
      </c>
      <c r="B228" s="2" t="n">
        <v>-25.15</v>
      </c>
      <c r="C228" s="2" t="n">
        <v>-30.2833333333333</v>
      </c>
      <c r="D228" s="2" t="n">
        <v>21.7450790577606</v>
      </c>
      <c r="E228" s="3" t="n">
        <v>3.84266666666667</v>
      </c>
      <c r="F228" s="2" t="n">
        <v>-24</v>
      </c>
      <c r="G228" s="1" t="n">
        <v>26874</v>
      </c>
      <c r="H228" s="1" t="n">
        <v>5.8</v>
      </c>
      <c r="I228" s="12" t="n">
        <f aca="false">H228*3.6</f>
        <v>20.88</v>
      </c>
      <c r="J228" s="4" t="n">
        <f aca="false">LN(D228/1007.23)*(-8645.2)+105</f>
        <v>33264.285205298</v>
      </c>
      <c r="K228" s="4" t="n">
        <f aca="false">45438.5*(1-(D228/1007.23)^0.1903)+105</f>
        <v>23644.292424351</v>
      </c>
      <c r="L228" s="4" t="n">
        <f aca="false">105+29.271*(273.15+B228)*LN(1007.23/D228)</f>
        <v>27948.2133943206</v>
      </c>
      <c r="M228" s="3" t="n">
        <f aca="false">M227-0.016/40</f>
        <v>4.08560000000001</v>
      </c>
      <c r="N228" s="12" t="n">
        <f aca="false">E228*(-F228)</f>
        <v>92.2240000000001</v>
      </c>
    </row>
    <row r="229" customFormat="false" ht="12.8" hidden="false" customHeight="false" outlineLevel="0" collapsed="false">
      <c r="A229" s="14" t="n">
        <v>0.671180555555556</v>
      </c>
      <c r="B229" s="2" t="n">
        <v>-24.9666666666667</v>
      </c>
      <c r="C229" s="2" t="n">
        <v>-30.35</v>
      </c>
      <c r="D229" s="2" t="n">
        <v>21.2654081961923</v>
      </c>
      <c r="E229" s="3" t="n">
        <v>3.83933333333333</v>
      </c>
      <c r="F229" s="2" t="n">
        <v>-24.6666666666667</v>
      </c>
      <c r="G229" s="1" t="n">
        <v>27012</v>
      </c>
      <c r="H229" s="1" t="n">
        <v>4.39</v>
      </c>
      <c r="I229" s="12" t="n">
        <f aca="false">H229*3.6</f>
        <v>15.804</v>
      </c>
      <c r="J229" s="4" t="n">
        <f aca="false">LN(D229/1007.23)*(-8645.2)+105</f>
        <v>33457.1229401606</v>
      </c>
      <c r="K229" s="4" t="n">
        <f aca="false">45438.5*(1-(D229/1007.23)^0.1903)+105</f>
        <v>23737.0528531733</v>
      </c>
      <c r="L229" s="4" t="n">
        <f aca="false">105+29.271*(273.15+B229)*LN(1007.23/D229)</f>
        <v>28130.8382488707</v>
      </c>
      <c r="M229" s="3" t="n">
        <f aca="false">M228-0.016/40</f>
        <v>4.08520000000001</v>
      </c>
      <c r="N229" s="12" t="n">
        <f aca="false">E229*(-F229)</f>
        <v>94.7035555555556</v>
      </c>
    </row>
    <row r="230" customFormat="false" ht="12.8" hidden="false" customHeight="false" outlineLevel="0" collapsed="false">
      <c r="A230" s="13" t="n">
        <v>0.671527777777778</v>
      </c>
      <c r="B230" s="2" t="n">
        <v>-24.6166666666667</v>
      </c>
      <c r="C230" s="2" t="n">
        <v>-30.4</v>
      </c>
      <c r="D230" s="2" t="n">
        <v>20.8337044207809</v>
      </c>
      <c r="E230" s="3" t="n">
        <v>3.83666666666667</v>
      </c>
      <c r="F230" s="2" t="n">
        <v>-24.8333333333333</v>
      </c>
      <c r="G230" s="1" t="n">
        <v>27156</v>
      </c>
      <c r="H230" s="1" t="n">
        <v>5.07</v>
      </c>
      <c r="I230" s="12" t="n">
        <f aca="false">H230*3.6</f>
        <v>18.252</v>
      </c>
      <c r="J230" s="4" t="n">
        <f aca="false">LN(D230/1007.23)*(-8645.2)+105</f>
        <v>33634.4329152557</v>
      </c>
      <c r="K230" s="4" t="n">
        <f aca="false">45438.5*(1-(D230/1007.23)^0.1903)+105</f>
        <v>23821.9972190532</v>
      </c>
      <c r="L230" s="4" t="n">
        <f aca="false">105+29.271*(273.15+B230)*LN(1007.23/D230)</f>
        <v>28319.5655782416</v>
      </c>
      <c r="M230" s="3" t="n">
        <f aca="false">M229-0.016/40</f>
        <v>4.08480000000001</v>
      </c>
      <c r="N230" s="12" t="n">
        <f aca="false">E230*(-F230)</f>
        <v>95.2772222222222</v>
      </c>
    </row>
    <row r="231" customFormat="false" ht="12.8" hidden="false" customHeight="false" outlineLevel="0" collapsed="false">
      <c r="A231" s="14" t="n">
        <v>0.671875</v>
      </c>
      <c r="B231" s="2" t="n">
        <v>-23.7333333333333</v>
      </c>
      <c r="C231" s="2" t="n">
        <v>-30.4833333333333</v>
      </c>
      <c r="D231" s="2" t="n">
        <v>20.4179896740884</v>
      </c>
      <c r="E231" s="3" t="n">
        <v>3.83533333333333</v>
      </c>
      <c r="F231" s="2" t="n">
        <v>-24.1666666666667</v>
      </c>
      <c r="G231" s="1" t="n">
        <v>27295</v>
      </c>
      <c r="H231" s="1" t="n">
        <v>5.17</v>
      </c>
      <c r="I231" s="12" t="n">
        <f aca="false">H231*3.6</f>
        <v>18.612</v>
      </c>
      <c r="J231" s="4" t="n">
        <f aca="false">LN(D231/1007.23)*(-8645.2)+105</f>
        <v>33808.6831552429</v>
      </c>
      <c r="K231" s="4" t="n">
        <f aca="false">45438.5*(1-(D231/1007.23)^0.1903)+105</f>
        <v>23905.1533674393</v>
      </c>
      <c r="L231" s="4" t="n">
        <f aca="false">105+29.271*(273.15+B231)*LN(1007.23/D231)</f>
        <v>28566.9957254111</v>
      </c>
      <c r="M231" s="3" t="n">
        <f aca="false">M230-0.016/40</f>
        <v>4.08440000000001</v>
      </c>
      <c r="N231" s="12" t="n">
        <f aca="false">E231*(-F231)</f>
        <v>92.6872222222223</v>
      </c>
    </row>
    <row r="232" customFormat="false" ht="12.8" hidden="false" customHeight="false" outlineLevel="0" collapsed="false">
      <c r="A232" s="13" t="n">
        <v>0.672222222222222</v>
      </c>
      <c r="B232" s="2" t="n">
        <v>-23.3333333333333</v>
      </c>
      <c r="C232" s="2" t="n">
        <v>-30.5166666666667</v>
      </c>
      <c r="D232" s="2" t="n">
        <v>19.9702968699581</v>
      </c>
      <c r="E232" s="3" t="n">
        <v>3.83133333333333</v>
      </c>
      <c r="F232" s="2" t="n">
        <v>-24.1666666666667</v>
      </c>
      <c r="G232" s="1" t="n">
        <v>27445</v>
      </c>
      <c r="H232" s="1" t="n">
        <v>5.4</v>
      </c>
      <c r="I232" s="12" t="n">
        <f aca="false">H232*3.6</f>
        <v>19.44</v>
      </c>
      <c r="J232" s="4" t="n">
        <f aca="false">LN(D232/1007.23)*(-8645.2)+105</f>
        <v>34000.3502296778</v>
      </c>
      <c r="K232" s="4" t="n">
        <f aca="false">45438.5*(1-(D232/1007.23)^0.1903)+105</f>
        <v>23996.2536041224</v>
      </c>
      <c r="L232" s="4" t="n">
        <f aca="false">105+29.271*(273.15+B232)*LN(1007.23/D232)</f>
        <v>28774.7595001295</v>
      </c>
      <c r="M232" s="3" t="n">
        <f aca="false">M231-0.016/40</f>
        <v>4.08400000000001</v>
      </c>
      <c r="N232" s="12" t="n">
        <f aca="false">E232*(-F232)</f>
        <v>92.5905555555556</v>
      </c>
    </row>
    <row r="233" customFormat="false" ht="12.8" hidden="false" customHeight="false" outlineLevel="0" collapsed="false">
      <c r="A233" s="14" t="n">
        <v>0.672569444444444</v>
      </c>
      <c r="B233" s="2" t="n">
        <v>-22.9666666666667</v>
      </c>
      <c r="C233" s="2" t="n">
        <v>-30.6</v>
      </c>
      <c r="D233" s="2" t="n">
        <v>19.5705711519845</v>
      </c>
      <c r="E233" s="3" t="n">
        <v>3.83</v>
      </c>
      <c r="F233" s="2" t="n">
        <v>-25.6666666666667</v>
      </c>
      <c r="G233" s="1" t="n">
        <v>27599</v>
      </c>
      <c r="H233" s="1" t="n">
        <v>4.59</v>
      </c>
      <c r="I233" s="12" t="n">
        <f aca="false">H233*3.6</f>
        <v>16.524</v>
      </c>
      <c r="J233" s="4" t="n">
        <f aca="false">LN(D233/1007.23)*(-8645.2)+105</f>
        <v>34175.1479352631</v>
      </c>
      <c r="K233" s="4" t="n">
        <f aca="false">45438.5*(1-(D233/1007.23)^0.1903)+105</f>
        <v>24079.0013177793</v>
      </c>
      <c r="L233" s="4" t="n">
        <f aca="false">105+29.271*(273.15+B233)*LN(1007.23/D233)</f>
        <v>28964.9057733359</v>
      </c>
      <c r="M233" s="3" t="n">
        <f aca="false">M232-0.016/40</f>
        <v>4.08360000000001</v>
      </c>
      <c r="N233" s="12" t="n">
        <f aca="false">E233*(-F233)</f>
        <v>98.3033333333335</v>
      </c>
    </row>
    <row r="234" customFormat="false" ht="12.8" hidden="false" customHeight="false" outlineLevel="0" collapsed="false">
      <c r="A234" s="13" t="n">
        <v>0.672916666666667</v>
      </c>
      <c r="B234" s="2" t="n">
        <v>-23.35</v>
      </c>
      <c r="C234" s="2" t="n">
        <v>-30.6166666666667</v>
      </c>
      <c r="D234" s="2" t="n">
        <v>19.1868344627299</v>
      </c>
      <c r="E234" s="3" t="n">
        <v>3.82733333333333</v>
      </c>
      <c r="F234" s="2" t="n">
        <v>-25</v>
      </c>
      <c r="G234" s="1" t="n">
        <v>27751</v>
      </c>
      <c r="H234" s="1" t="n">
        <v>4.71</v>
      </c>
      <c r="I234" s="12" t="n">
        <f aca="false">H234*3.6</f>
        <v>16.956</v>
      </c>
      <c r="J234" s="4" t="n">
        <f aca="false">LN(D234/1007.23)*(-8645.2)+105</f>
        <v>34346.345608764</v>
      </c>
      <c r="K234" s="4" t="n">
        <f aca="false">45438.5*(1-(D234/1007.23)^0.1903)+105</f>
        <v>24159.7367737408</v>
      </c>
      <c r="L234" s="4" t="n">
        <f aca="false">105+29.271*(273.15+B234)*LN(1007.23/D234)</f>
        <v>29065.4810927532</v>
      </c>
      <c r="M234" s="3" t="n">
        <f aca="false">M233-0.016/40</f>
        <v>4.08320000000001</v>
      </c>
      <c r="N234" s="12" t="n">
        <f aca="false">E234*(-F234)</f>
        <v>95.6833333333333</v>
      </c>
    </row>
    <row r="235" customFormat="false" ht="12.8" hidden="false" customHeight="false" outlineLevel="0" collapsed="false">
      <c r="A235" s="14" t="n">
        <v>0.673263888888889</v>
      </c>
      <c r="B235" s="2" t="n">
        <v>-23.4833333333333</v>
      </c>
      <c r="C235" s="2" t="n">
        <v>-30.7</v>
      </c>
      <c r="D235" s="2" t="n">
        <v>18.7551306873185</v>
      </c>
      <c r="E235" s="3" t="n">
        <v>3.824</v>
      </c>
      <c r="F235" s="2" t="n">
        <v>-24.6666666666667</v>
      </c>
      <c r="G235" s="1" t="n">
        <v>27901</v>
      </c>
      <c r="H235" s="1" t="n">
        <v>4.98</v>
      </c>
      <c r="I235" s="12" t="n">
        <f aca="false">H235*3.6</f>
        <v>17.928</v>
      </c>
      <c r="J235" s="4" t="n">
        <f aca="false">LN(D235/1007.23)*(-8645.2)+105</f>
        <v>34543.0843138364</v>
      </c>
      <c r="K235" s="4" t="n">
        <f aca="false">45438.5*(1-(D235/1007.23)^0.1903)+105</f>
        <v>24252.1422348903</v>
      </c>
      <c r="L235" s="4" t="n">
        <f aca="false">105+29.271*(273.15+B235)*LN(1007.23/D235)</f>
        <v>29216.3310390652</v>
      </c>
      <c r="M235" s="3" t="n">
        <f aca="false">M234-0.016/40</f>
        <v>4.08280000000001</v>
      </c>
      <c r="N235" s="12" t="n">
        <f aca="false">E235*(-F235)</f>
        <v>94.3253333333335</v>
      </c>
    </row>
    <row r="236" customFormat="false" ht="12.8" hidden="false" customHeight="false" outlineLevel="0" collapsed="false">
      <c r="A236" s="13" t="n">
        <v>0.673611111111111</v>
      </c>
      <c r="B236" s="2" t="n">
        <v>-23.2</v>
      </c>
      <c r="C236" s="2" t="n">
        <v>-30.7333333333333</v>
      </c>
      <c r="D236" s="2" t="n">
        <v>18.3713939980639</v>
      </c>
      <c r="E236" s="3" t="n">
        <v>3.82266666666667</v>
      </c>
      <c r="F236" s="2" t="n">
        <v>-25</v>
      </c>
      <c r="G236" s="1" t="n">
        <v>28053</v>
      </c>
      <c r="H236" s="1" t="n">
        <v>5.53</v>
      </c>
      <c r="I236" s="12" t="n">
        <f aca="false">H236*3.6</f>
        <v>19.908</v>
      </c>
      <c r="J236" s="4" t="n">
        <f aca="false">LN(D236/1007.23)*(-8645.2)+105</f>
        <v>34721.8028229574</v>
      </c>
      <c r="K236" s="4" t="n">
        <f aca="false">45438.5*(1-(D236/1007.23)^0.1903)+105</f>
        <v>24335.737688536</v>
      </c>
      <c r="L236" s="4" t="n">
        <f aca="false">105+29.271*(273.15+B236)*LN(1007.23/D236)</f>
        <v>29400.6143797627</v>
      </c>
      <c r="M236" s="3" t="n">
        <f aca="false">M235-0.016/40</f>
        <v>4.08240000000001</v>
      </c>
      <c r="N236" s="12" t="n">
        <f aca="false">E236*(-F236)</f>
        <v>95.5666666666668</v>
      </c>
    </row>
    <row r="237" customFormat="false" ht="12.8" hidden="false" customHeight="false" outlineLevel="0" collapsed="false">
      <c r="A237" s="14" t="n">
        <v>0.673958333333333</v>
      </c>
      <c r="B237" s="2" t="n">
        <v>-22.6333333333333</v>
      </c>
      <c r="C237" s="2" t="n">
        <v>-30.8</v>
      </c>
      <c r="D237" s="2" t="n">
        <v>17.9716682800904</v>
      </c>
      <c r="E237" s="3" t="n">
        <v>3.82</v>
      </c>
      <c r="F237" s="2" t="n">
        <v>-25.5</v>
      </c>
      <c r="G237" s="1" t="n">
        <v>28209</v>
      </c>
      <c r="H237" s="1" t="n">
        <v>5.91</v>
      </c>
      <c r="I237" s="12" t="n">
        <f aca="false">H237*3.6</f>
        <v>21.276</v>
      </c>
      <c r="J237" s="4" t="n">
        <f aca="false">LN(D237/1007.23)*(-8645.2)+105</f>
        <v>34911.9820713376</v>
      </c>
      <c r="K237" s="4" t="n">
        <f aca="false">45438.5*(1-(D237/1007.23)^0.1903)+105</f>
        <v>24424.3334608599</v>
      </c>
      <c r="L237" s="4" t="n">
        <f aca="false">105+29.271*(273.15+B237)*LN(1007.23/D237)</f>
        <v>29628.3414177624</v>
      </c>
      <c r="M237" s="3" t="n">
        <f aca="false">M236-0.016/40</f>
        <v>4.08200000000001</v>
      </c>
      <c r="N237" s="12" t="n">
        <f aca="false">E237*(-F237)</f>
        <v>97.41</v>
      </c>
    </row>
    <row r="238" customFormat="false" ht="12.8" hidden="false" customHeight="false" outlineLevel="0" collapsed="false">
      <c r="A238" s="13" t="n">
        <v>0.674305555555556</v>
      </c>
      <c r="B238" s="2" t="n">
        <v>-22.8333333333333</v>
      </c>
      <c r="C238" s="2" t="n">
        <v>-30.8</v>
      </c>
      <c r="D238" s="2" t="n">
        <v>17.6039206195547</v>
      </c>
      <c r="E238" s="3" t="n">
        <v>3.81733333333333</v>
      </c>
      <c r="F238" s="2" t="n">
        <v>-24</v>
      </c>
      <c r="G238" s="1" t="n">
        <v>28361</v>
      </c>
      <c r="H238" s="1" t="n">
        <v>4.8</v>
      </c>
      <c r="I238" s="12" t="n">
        <f aca="false">H238*3.6</f>
        <v>17.28</v>
      </c>
      <c r="J238" s="4" t="n">
        <f aca="false">LN(D238/1007.23)*(-8645.2)+105</f>
        <v>35090.7206626205</v>
      </c>
      <c r="K238" s="4" t="n">
        <f aca="false">45438.5*(1-(D238/1007.23)^0.1903)+105</f>
        <v>24507.2621457313</v>
      </c>
      <c r="L238" s="4" t="n">
        <f aca="false">105+29.271*(273.15+B238)*LN(1007.23/D238)</f>
        <v>29756.2567981737</v>
      </c>
      <c r="M238" s="3" t="n">
        <f aca="false">M237-0.016/40</f>
        <v>4.08160000000001</v>
      </c>
      <c r="N238" s="12" t="n">
        <f aca="false">E238*(-F238)</f>
        <v>91.6159999999999</v>
      </c>
    </row>
    <row r="239" customFormat="false" ht="12.8" hidden="false" customHeight="false" outlineLevel="0" collapsed="false">
      <c r="A239" s="14" t="n">
        <v>0.674652777777778</v>
      </c>
      <c r="B239" s="2" t="n">
        <v>-22.6166666666667</v>
      </c>
      <c r="C239" s="2" t="n">
        <v>-30.8666666666667</v>
      </c>
      <c r="D239" s="2" t="n">
        <v>17.1722168441433</v>
      </c>
      <c r="E239" s="3" t="n">
        <v>3.81533333333333</v>
      </c>
      <c r="F239" s="2" t="n">
        <v>-24.8333333333333</v>
      </c>
      <c r="G239" s="1" t="n">
        <v>28512</v>
      </c>
      <c r="H239" s="1" t="n">
        <v>5.03</v>
      </c>
      <c r="I239" s="12" t="n">
        <f aca="false">H239*3.6</f>
        <v>18.108</v>
      </c>
      <c r="J239" s="4" t="n">
        <f aca="false">LN(D239/1007.23)*(-8645.2)+105</f>
        <v>35305.3711373906</v>
      </c>
      <c r="K239" s="4" t="n">
        <f aca="false">45438.5*(1-(D239/1007.23)^0.1903)+105</f>
        <v>24606.4224995072</v>
      </c>
      <c r="L239" s="4" t="n">
        <f aca="false">105+29.271*(273.15+B239)*LN(1007.23/D239)</f>
        <v>29964.0010554458</v>
      </c>
      <c r="M239" s="3" t="n">
        <f aca="false">M238-0.016/40</f>
        <v>4.08120000000001</v>
      </c>
      <c r="N239" s="12" t="n">
        <f aca="false">E239*(-F239)</f>
        <v>94.7474444444442</v>
      </c>
    </row>
    <row r="240" customFormat="false" ht="12.8" hidden="false" customHeight="false" outlineLevel="0" collapsed="false">
      <c r="A240" s="13" t="n">
        <v>0.675</v>
      </c>
      <c r="B240" s="2" t="n">
        <v>-22.3333333333333</v>
      </c>
      <c r="C240" s="2" t="n">
        <v>-30.9</v>
      </c>
      <c r="D240" s="2" t="n">
        <v>16.8204582123266</v>
      </c>
      <c r="E240" s="3" t="n">
        <v>3.814</v>
      </c>
      <c r="F240" s="2" t="n">
        <v>-25.1666666666667</v>
      </c>
      <c r="G240" s="1" t="n">
        <v>28672</v>
      </c>
      <c r="H240" s="1" t="n">
        <v>5.25</v>
      </c>
      <c r="I240" s="12" t="n">
        <f aca="false">H240*3.6</f>
        <v>18.9</v>
      </c>
      <c r="J240" s="4" t="n">
        <f aca="false">LN(D240/1007.23)*(-8645.2)+105</f>
        <v>35484.2998196785</v>
      </c>
      <c r="K240" s="4" t="n">
        <f aca="false">45438.5*(1-(D240/1007.23)^0.1903)+105</f>
        <v>24688.7234382139</v>
      </c>
      <c r="L240" s="4" t="n">
        <f aca="false">105+29.271*(273.15+B240)*LN(1007.23/D240)</f>
        <v>30149.7185761911</v>
      </c>
      <c r="M240" s="3" t="n">
        <f aca="false">M239-0.016/40</f>
        <v>4.08080000000001</v>
      </c>
      <c r="N240" s="12" t="n">
        <f aca="false">E240*(-F240)</f>
        <v>95.9856666666668</v>
      </c>
    </row>
    <row r="241" customFormat="false" ht="12.8" hidden="false" customHeight="false" outlineLevel="0" collapsed="false">
      <c r="A241" s="14" t="n">
        <v>0.675347222222222</v>
      </c>
      <c r="B241" s="2" t="n">
        <v>-22.4166666666667</v>
      </c>
      <c r="C241" s="2" t="n">
        <v>-30.9</v>
      </c>
      <c r="D241" s="2" t="n">
        <v>16.4527105517909</v>
      </c>
      <c r="E241" s="3" t="n">
        <v>3.81133333333333</v>
      </c>
      <c r="F241" s="2" t="n">
        <v>-24.3333333333333</v>
      </c>
      <c r="G241" s="1" t="n">
        <v>28834</v>
      </c>
      <c r="H241" s="1" t="n">
        <v>5.3</v>
      </c>
      <c r="I241" s="12" t="n">
        <f aca="false">H241*3.6</f>
        <v>19.08</v>
      </c>
      <c r="J241" s="4" t="n">
        <f aca="false">LN(D241/1007.23)*(-8645.2)+105</f>
        <v>35675.4076495829</v>
      </c>
      <c r="K241" s="4" t="n">
        <f aca="false">45438.5*(1-(D241/1007.23)^0.1903)+105</f>
        <v>24776.2690961849</v>
      </c>
      <c r="L241" s="4" t="n">
        <f aca="false">105+29.271*(273.15+B241)*LN(1007.23/D241)</f>
        <v>30301.9744605211</v>
      </c>
      <c r="M241" s="3" t="n">
        <f aca="false">M240-0.016/40</f>
        <v>4.08040000000001</v>
      </c>
      <c r="N241" s="12" t="n">
        <f aca="false">E241*(-F241)</f>
        <v>92.7424444444443</v>
      </c>
    </row>
    <row r="242" customFormat="false" ht="12.8" hidden="false" customHeight="false" outlineLevel="0" collapsed="false">
      <c r="A242" s="13" t="n">
        <v>0.675694444444445</v>
      </c>
      <c r="B242" s="2" t="n">
        <v>-22.3833333333333</v>
      </c>
      <c r="C242" s="2" t="n">
        <v>-30.9833333333333</v>
      </c>
      <c r="D242" s="2" t="n">
        <v>16.1009519199742</v>
      </c>
      <c r="E242" s="3" t="n">
        <v>3.80866666666667</v>
      </c>
      <c r="F242" s="2" t="n">
        <v>-25</v>
      </c>
      <c r="G242" s="1" t="n">
        <v>28987</v>
      </c>
      <c r="H242" s="1" t="n">
        <v>4.59</v>
      </c>
      <c r="I242" s="12" t="n">
        <f aca="false">H242*3.6</f>
        <v>16.524</v>
      </c>
      <c r="J242" s="4" t="n">
        <f aca="false">LN(D242/1007.23)*(-8645.2)+105</f>
        <v>35862.2463556849</v>
      </c>
      <c r="K242" s="4" t="n">
        <f aca="false">45438.5*(1-(D242/1007.23)^0.1903)+105</f>
        <v>24861.5037935602</v>
      </c>
      <c r="L242" s="4" t="n">
        <f aca="false">105+29.271*(273.15+B242)*LN(1007.23/D242)</f>
        <v>30464.6240064436</v>
      </c>
      <c r="M242" s="3" t="n">
        <f aca="false">M241-0.016/40</f>
        <v>4.08000000000001</v>
      </c>
      <c r="N242" s="12" t="n">
        <f aca="false">E242*(-F242)</f>
        <v>95.2166666666668</v>
      </c>
    </row>
    <row r="243" customFormat="false" ht="12.8" hidden="false" customHeight="false" outlineLevel="0" collapsed="false">
      <c r="A243" s="14" t="n">
        <v>0.676041666666667</v>
      </c>
      <c r="B243" s="2" t="n">
        <v>-22.15</v>
      </c>
      <c r="C243" s="2" t="n">
        <v>-31</v>
      </c>
      <c r="D243" s="2" t="n">
        <v>15.7651823168764</v>
      </c>
      <c r="E243" s="3" t="n">
        <v>3.808</v>
      </c>
      <c r="F243" s="2" t="n">
        <v>-25.8333333333333</v>
      </c>
      <c r="G243" s="1" t="n">
        <v>29143</v>
      </c>
      <c r="H243" s="1" t="n">
        <v>5.38</v>
      </c>
      <c r="I243" s="12" t="n">
        <f aca="false">H243*3.6</f>
        <v>19.368</v>
      </c>
      <c r="J243" s="4" t="n">
        <f aca="false">LN(D243/1007.23)*(-8645.2)+105</f>
        <v>36044.4399526047</v>
      </c>
      <c r="K243" s="4" t="n">
        <f aca="false">45438.5*(1-(D243/1007.23)^0.1903)+105</f>
        <v>24944.2825185629</v>
      </c>
      <c r="L243" s="4" t="n">
        <f aca="false">105+29.271*(273.15+B243)*LN(1007.23/D243)</f>
        <v>30647.7080992951</v>
      </c>
      <c r="M243" s="3" t="n">
        <f aca="false">M242-0.016/40</f>
        <v>4.07960000000001</v>
      </c>
      <c r="N243" s="12" t="n">
        <f aca="false">E243*(-F243)</f>
        <v>98.3733333333332</v>
      </c>
    </row>
    <row r="244" customFormat="false" ht="12.8" hidden="false" customHeight="false" outlineLevel="0" collapsed="false">
      <c r="A244" s="13" t="n">
        <v>0.676388888888889</v>
      </c>
      <c r="B244" s="2" t="n">
        <v>-22.2833333333333</v>
      </c>
      <c r="C244" s="2" t="n">
        <v>-31</v>
      </c>
      <c r="D244" s="2" t="n">
        <v>15.3814456276218</v>
      </c>
      <c r="E244" s="3" t="n">
        <v>3.80466666666667</v>
      </c>
      <c r="F244" s="2" t="n">
        <v>-24.1666666666667</v>
      </c>
      <c r="G244" s="1" t="n">
        <v>29307</v>
      </c>
      <c r="H244" s="1" t="n">
        <v>5.39</v>
      </c>
      <c r="I244" s="12" t="n">
        <f aca="false">H244*3.6</f>
        <v>19.404</v>
      </c>
      <c r="J244" s="4" t="n">
        <f aca="false">LN(D244/1007.23)*(-8645.2)+105</f>
        <v>36257.4741405203</v>
      </c>
      <c r="K244" s="4" t="n">
        <f aca="false">45438.5*(1-(D244/1007.23)^0.1903)+105</f>
        <v>25040.6534127971</v>
      </c>
      <c r="L244" s="4" t="n">
        <f aca="false">105+29.271*(273.15+B244)*LN(1007.23/D244)</f>
        <v>30812.4319664419</v>
      </c>
      <c r="M244" s="3" t="n">
        <f aca="false">M243-0.016/40</f>
        <v>4.07920000000001</v>
      </c>
      <c r="N244" s="12" t="n">
        <f aca="false">E244*(-F244)</f>
        <v>91.9461111111113</v>
      </c>
    </row>
    <row r="245" customFormat="false" ht="12.8" hidden="false" customHeight="false" outlineLevel="0" collapsed="false">
      <c r="A245" s="14" t="n">
        <v>0.676736111111111</v>
      </c>
      <c r="B245" s="2" t="n">
        <v>-22</v>
      </c>
      <c r="C245" s="2" t="n">
        <v>-31</v>
      </c>
      <c r="D245" s="2" t="n">
        <v>15.045676024524</v>
      </c>
      <c r="E245" s="3" t="n">
        <v>3.80333333333333</v>
      </c>
      <c r="F245" s="2" t="n">
        <v>-25.5</v>
      </c>
      <c r="G245" s="1" t="n">
        <v>29476</v>
      </c>
      <c r="H245" s="1" t="n">
        <v>5.65</v>
      </c>
      <c r="I245" s="12" t="n">
        <f aca="false">H245*3.6</f>
        <v>20.34</v>
      </c>
      <c r="J245" s="4" t="n">
        <f aca="false">LN(D245/1007.23)*(-8645.2)+105</f>
        <v>36448.2850390719</v>
      </c>
      <c r="K245" s="4" t="n">
        <f aca="false">45438.5*(1-(D245/1007.23)^0.1903)+105</f>
        <v>25126.5882673149</v>
      </c>
      <c r="L245" s="4" t="n">
        <f aca="false">105+29.271*(273.15+B245)*LN(1007.23/D245)</f>
        <v>31009.3687867839</v>
      </c>
      <c r="M245" s="3" t="n">
        <f aca="false">M244-0.016/40</f>
        <v>4.07880000000001</v>
      </c>
      <c r="N245" s="12" t="n">
        <f aca="false">E245*(-F245)</f>
        <v>96.9849999999999</v>
      </c>
    </row>
    <row r="246" customFormat="false" ht="12.8" hidden="false" customHeight="false" outlineLevel="0" collapsed="false">
      <c r="A246" s="13" t="n">
        <v>0.677083333333333</v>
      </c>
      <c r="B246" s="2" t="n">
        <v>-21.65</v>
      </c>
      <c r="C246" s="2" t="n">
        <v>-31.0333333333333</v>
      </c>
      <c r="D246" s="2" t="n">
        <v>14.7258954501452</v>
      </c>
      <c r="E246" s="3" t="n">
        <v>3.802</v>
      </c>
      <c r="F246" s="2" t="n">
        <v>-26.1666666666667</v>
      </c>
      <c r="G246" s="1" t="n">
        <v>29636</v>
      </c>
      <c r="H246" s="1" t="n">
        <v>5.75</v>
      </c>
      <c r="I246" s="12" t="n">
        <f aca="false">H246*3.6</f>
        <v>20.7</v>
      </c>
      <c r="J246" s="4" t="n">
        <f aca="false">LN(D246/1007.23)*(-8645.2)+105</f>
        <v>36634.0107639811</v>
      </c>
      <c r="K246" s="4" t="n">
        <f aca="false">45438.5*(1-(D246/1007.23)^0.1903)+105</f>
        <v>25209.8870031404</v>
      </c>
      <c r="L246" s="4" t="n">
        <f aca="false">105+29.271*(273.15+B246)*LN(1007.23/D246)</f>
        <v>31210.5880175393</v>
      </c>
      <c r="M246" s="3" t="n">
        <f aca="false">M245-0.016/40</f>
        <v>4.07840000000001</v>
      </c>
      <c r="N246" s="12" t="n">
        <f aca="false">E246*(-F246)</f>
        <v>99.4856666666668</v>
      </c>
    </row>
    <row r="247" customFormat="false" ht="12.8" hidden="false" customHeight="false" outlineLevel="0" collapsed="false">
      <c r="A247" s="14" t="n">
        <v>0.677430555555556</v>
      </c>
      <c r="B247" s="2" t="n">
        <v>-21.6166666666667</v>
      </c>
      <c r="C247" s="2" t="n">
        <v>-31.1</v>
      </c>
      <c r="D247" s="2" t="n">
        <v>14.3901258470474</v>
      </c>
      <c r="E247" s="3" t="n">
        <v>3.8</v>
      </c>
      <c r="F247" s="2" t="n">
        <v>-24.3333333333333</v>
      </c>
      <c r="G247" s="1" t="n">
        <v>29793</v>
      </c>
      <c r="H247" s="1" t="n">
        <v>5.21</v>
      </c>
      <c r="I247" s="12" t="n">
        <f aca="false">H247*3.6</f>
        <v>18.756</v>
      </c>
      <c r="J247" s="4" t="n">
        <f aca="false">LN(D247/1007.23)*(-8645.2)+105</f>
        <v>36833.4146615241</v>
      </c>
      <c r="K247" s="4" t="n">
        <f aca="false">45438.5*(1-(D247/1007.23)^0.1903)+105</f>
        <v>25298.9421777225</v>
      </c>
      <c r="L247" s="4" t="n">
        <f aca="false">105+29.271*(273.15+B247)*LN(1007.23/D247)</f>
        <v>31384.5318144045</v>
      </c>
      <c r="M247" s="3" t="n">
        <f aca="false">M246-0.016/40</f>
        <v>4.07800000000001</v>
      </c>
      <c r="N247" s="12" t="n">
        <f aca="false">E247*(-F247)</f>
        <v>92.4666666666665</v>
      </c>
    </row>
    <row r="248" customFormat="false" ht="12.8" hidden="false" customHeight="false" outlineLevel="0" collapsed="false">
      <c r="A248" s="13" t="n">
        <v>0.677777777777778</v>
      </c>
      <c r="B248" s="2" t="n">
        <v>-22</v>
      </c>
      <c r="C248" s="2" t="n">
        <v>-31.1</v>
      </c>
      <c r="D248" s="2" t="n">
        <v>14.0543562439497</v>
      </c>
      <c r="E248" s="3" t="n">
        <v>3.79933333333333</v>
      </c>
      <c r="F248" s="2" t="n">
        <v>-25.5</v>
      </c>
      <c r="G248" s="1" t="n">
        <v>29947</v>
      </c>
      <c r="H248" s="1" t="n">
        <v>5.16</v>
      </c>
      <c r="I248" s="12" t="n">
        <f aca="false">H248*3.6</f>
        <v>18.576</v>
      </c>
      <c r="J248" s="4" t="n">
        <f aca="false">LN(D248/1007.23)*(-8645.2)+105</f>
        <v>37037.5266719475</v>
      </c>
      <c r="K248" s="4" t="n">
        <f aca="false">45438.5*(1-(D248/1007.23)^0.1903)+105</f>
        <v>25389.6960848411</v>
      </c>
      <c r="L248" s="4" t="n">
        <f aca="false">105+29.271*(273.15+B248)*LN(1007.23/D248)</f>
        <v>31510.4280803325</v>
      </c>
      <c r="M248" s="3" t="n">
        <f aca="false">M247-0.016/40</f>
        <v>4.07760000000001</v>
      </c>
      <c r="N248" s="12" t="n">
        <f aca="false">E248*(-F248)</f>
        <v>96.8829999999999</v>
      </c>
    </row>
    <row r="249" customFormat="false" ht="12.8" hidden="false" customHeight="false" outlineLevel="0" collapsed="false">
      <c r="A249" s="14" t="n">
        <v>0.678125</v>
      </c>
      <c r="B249" s="2" t="n">
        <v>-21.3</v>
      </c>
      <c r="C249" s="2" t="n">
        <v>-31.1</v>
      </c>
      <c r="D249" s="2" t="n">
        <v>13.7345756695708</v>
      </c>
      <c r="E249" s="3" t="n">
        <v>3.79733333333333</v>
      </c>
      <c r="F249" s="2" t="n">
        <v>-25.6666666666667</v>
      </c>
      <c r="G249" s="1" t="n">
        <v>30101</v>
      </c>
      <c r="H249" s="1" t="n">
        <v>5.55</v>
      </c>
      <c r="I249" s="12" t="n">
        <f aca="false">H249*3.6</f>
        <v>19.98</v>
      </c>
      <c r="J249" s="4" t="n">
        <f aca="false">LN(D249/1007.23)*(-8645.2)+105</f>
        <v>37236.5043850772</v>
      </c>
      <c r="K249" s="4" t="n">
        <f aca="false">45438.5*(1-(D249/1007.23)^0.1903)+105</f>
        <v>25477.7755081948</v>
      </c>
      <c r="L249" s="4" t="n">
        <f aca="false">105+29.271*(273.15+B249)*LN(1007.23/D249)</f>
        <v>31767.6321315737</v>
      </c>
      <c r="M249" s="3" t="n">
        <f aca="false">M248-0.016/40</f>
        <v>4.07720000000001</v>
      </c>
      <c r="N249" s="12" t="n">
        <f aca="false">E249*(-F249)</f>
        <v>97.4648888888889</v>
      </c>
    </row>
    <row r="250" customFormat="false" ht="12.8" hidden="false" customHeight="false" outlineLevel="0" collapsed="false">
      <c r="A250" s="13" t="n">
        <v>0.678472222222222</v>
      </c>
      <c r="B250" s="2" t="n">
        <v>-20.8166666666667</v>
      </c>
      <c r="C250" s="2" t="n">
        <v>-31.1</v>
      </c>
      <c r="D250" s="2" t="n">
        <v>13.414795095192</v>
      </c>
      <c r="E250" s="3" t="n">
        <v>3.79533333333333</v>
      </c>
      <c r="F250" s="2" t="n">
        <v>-24.5</v>
      </c>
      <c r="G250" s="1" t="n">
        <v>30260</v>
      </c>
      <c r="H250" s="1" t="n">
        <v>4.86</v>
      </c>
      <c r="I250" s="12" t="n">
        <f aca="false">H250*3.6</f>
        <v>17.496</v>
      </c>
      <c r="J250" s="4" t="n">
        <f aca="false">LN(D250/1007.23)*(-8645.2)+105</f>
        <v>37440.1698698652</v>
      </c>
      <c r="K250" s="4" t="n">
        <f aca="false">45438.5*(1-(D250/1007.23)^0.1903)+105</f>
        <v>25567.5313839017</v>
      </c>
      <c r="L250" s="4" t="n">
        <f aca="false">105+29.271*(273.15+B250)*LN(1007.23/D250)</f>
        <v>32002.399028611</v>
      </c>
      <c r="M250" s="3" t="n">
        <f aca="false">M249-0.016/40</f>
        <v>4.07680000000001</v>
      </c>
      <c r="N250" s="12" t="n">
        <f aca="false">E250*(-F250)</f>
        <v>92.9856666666666</v>
      </c>
    </row>
    <row r="251" customFormat="false" ht="12.8" hidden="false" customHeight="false" outlineLevel="0" collapsed="false">
      <c r="A251" s="14" t="n">
        <v>0.678819444444444</v>
      </c>
      <c r="B251" s="2" t="n">
        <v>-20.6</v>
      </c>
      <c r="C251" s="2" t="n">
        <v>-31.1</v>
      </c>
      <c r="D251" s="2" t="n">
        <v>13.14298160697</v>
      </c>
      <c r="E251" s="3" t="n">
        <v>3.79533333333333</v>
      </c>
      <c r="F251" s="2" t="n">
        <v>-25.3333333333333</v>
      </c>
      <c r="G251" s="1" t="n">
        <v>30411</v>
      </c>
      <c r="H251" s="1" t="n">
        <v>5.17</v>
      </c>
      <c r="I251" s="12" t="n">
        <f aca="false">H251*3.6</f>
        <v>18.612</v>
      </c>
      <c r="J251" s="4" t="n">
        <f aca="false">LN(D251/1007.23)*(-8645.2)+105</f>
        <v>37617.1398060758</v>
      </c>
      <c r="K251" s="4" t="n">
        <f aca="false">45438.5*(1-(D251/1007.23)^0.1903)+105</f>
        <v>25645.1964046022</v>
      </c>
      <c r="L251" s="4" t="n">
        <f aca="false">105+29.271*(273.15+B251)*LN(1007.23/D251)</f>
        <v>32181.1123593188</v>
      </c>
      <c r="M251" s="3" t="n">
        <f aca="false">M250-0.016/40</f>
        <v>4.07640000000001</v>
      </c>
      <c r="N251" s="12" t="n">
        <f aca="false">E251*(-F251)</f>
        <v>96.1484444444442</v>
      </c>
    </row>
    <row r="252" customFormat="false" ht="12.8" hidden="false" customHeight="false" outlineLevel="0" collapsed="false">
      <c r="A252" s="13" t="n">
        <v>0.679166666666667</v>
      </c>
      <c r="B252" s="2" t="n">
        <v>-19.8833333333333</v>
      </c>
      <c r="C252" s="2" t="n">
        <v>-31.1</v>
      </c>
      <c r="D252" s="2" t="n">
        <v>12.6792997741207</v>
      </c>
      <c r="E252" s="3" t="n">
        <v>3.79333333333333</v>
      </c>
      <c r="F252" s="2" t="n">
        <v>-25.3333333333333</v>
      </c>
      <c r="G252" s="1" t="n">
        <v>30565</v>
      </c>
      <c r="H252" s="1" t="n">
        <v>4.89</v>
      </c>
      <c r="I252" s="12" t="n">
        <f aca="false">H252*3.6</f>
        <v>17.604</v>
      </c>
      <c r="J252" s="4" t="n">
        <f aca="false">LN(D252/1007.23)*(-8645.2)+105</f>
        <v>37927.6509537378</v>
      </c>
      <c r="K252" s="4" t="n">
        <f aca="false">45438.5*(1-(D252/1007.23)^0.1903)+105</f>
        <v>25780.7383230709</v>
      </c>
      <c r="L252" s="4" t="n">
        <f aca="false">105+29.271*(273.15+B252)*LN(1007.23/D252)</f>
        <v>32538.4026915745</v>
      </c>
      <c r="M252" s="3" t="n">
        <f aca="false">M251-0.016/40</f>
        <v>4.07600000000001</v>
      </c>
      <c r="N252" s="12" t="n">
        <f aca="false">E252*(-F252)</f>
        <v>96.0977777777776</v>
      </c>
    </row>
    <row r="253" customFormat="false" ht="12.8" hidden="false" customHeight="false" outlineLevel="0" collapsed="false">
      <c r="A253" s="14" t="n">
        <v>0.679513888888889</v>
      </c>
      <c r="B253" s="2" t="n">
        <v>-19.0166666666667</v>
      </c>
      <c r="C253" s="2" t="n">
        <v>-31.1166666666667</v>
      </c>
      <c r="D253" s="2" t="n">
        <v>12.3595191997419</v>
      </c>
      <c r="E253" s="3" t="n">
        <v>3.79133333333333</v>
      </c>
      <c r="F253" s="2" t="n">
        <v>-24.8333333333333</v>
      </c>
      <c r="G253" s="1" t="n">
        <v>30726</v>
      </c>
      <c r="H253" s="1" t="n">
        <v>5.54</v>
      </c>
      <c r="I253" s="12" t="n">
        <f aca="false">H253*3.6</f>
        <v>19.944</v>
      </c>
      <c r="J253" s="4" t="n">
        <f aca="false">LN(D253/1007.23)*(-8645.2)+105</f>
        <v>38148.4854385674</v>
      </c>
      <c r="K253" s="4" t="n">
        <f aca="false">45438.5*(1-(D253/1007.23)^0.1903)+105</f>
        <v>25876.5730990583</v>
      </c>
      <c r="L253" s="4" t="n">
        <f aca="false">105+29.271*(273.15+B253)*LN(1007.23/D253)</f>
        <v>32839.4046560098</v>
      </c>
      <c r="M253" s="3" t="n">
        <f aca="false">M252-0.016/40</f>
        <v>4.07560000000001</v>
      </c>
      <c r="N253" s="12" t="n">
        <f aca="false">E253*(-F253)</f>
        <v>94.1514444444442</v>
      </c>
    </row>
    <row r="254" customFormat="false" ht="12.8" hidden="false" customHeight="false" outlineLevel="0" collapsed="false">
      <c r="A254" s="13" t="n">
        <v>0.679861111111111</v>
      </c>
      <c r="B254" s="2" t="n">
        <v>-18.9666666666667</v>
      </c>
      <c r="C254" s="2" t="n">
        <v>-31.15</v>
      </c>
      <c r="D254" s="2" t="n">
        <v>12.055727654082</v>
      </c>
      <c r="E254" s="3" t="n">
        <v>3.792</v>
      </c>
      <c r="F254" s="2" t="n">
        <v>-25.6666666666667</v>
      </c>
      <c r="G254" s="1" t="n">
        <v>30891</v>
      </c>
      <c r="H254" s="1" t="n">
        <v>5.2</v>
      </c>
      <c r="I254" s="12" t="n">
        <f aca="false">H254*3.6</f>
        <v>18.72</v>
      </c>
      <c r="J254" s="4" t="n">
        <f aca="false">LN(D254/1007.23)*(-8645.2)+105</f>
        <v>38363.635769513</v>
      </c>
      <c r="K254" s="4" t="n">
        <f aca="false">45438.5*(1-(D254/1007.23)^0.1903)+105</f>
        <v>25969.494184888</v>
      </c>
      <c r="L254" s="4" t="n">
        <f aca="false">105+29.271*(273.15+B254)*LN(1007.23/D254)</f>
        <v>33031.0069452243</v>
      </c>
      <c r="M254" s="3" t="n">
        <f aca="false">M253-0.016/40</f>
        <v>4.07520000000001</v>
      </c>
      <c r="N254" s="12" t="n">
        <f aca="false">E254*(-F254)</f>
        <v>97.3280000000001</v>
      </c>
    </row>
    <row r="255" customFormat="false" ht="12.8" hidden="false" customHeight="false" outlineLevel="0" collapsed="false">
      <c r="A255" s="14" t="n">
        <v>0.680208333333333</v>
      </c>
      <c r="B255" s="2" t="n">
        <v>-18.7333333333333</v>
      </c>
      <c r="C255" s="2" t="n">
        <v>-31.1833333333333</v>
      </c>
      <c r="D255" s="2" t="n">
        <v>11.7999031945789</v>
      </c>
      <c r="E255" s="3" t="n">
        <v>3.79</v>
      </c>
      <c r="F255" s="2" t="n">
        <v>-25.1666666666667</v>
      </c>
      <c r="G255" s="1" t="n">
        <v>31044</v>
      </c>
      <c r="H255" s="1" t="n">
        <v>5.7</v>
      </c>
      <c r="I255" s="12" t="n">
        <f aca="false">H255*3.6</f>
        <v>20.52</v>
      </c>
      <c r="J255" s="4" t="n">
        <f aca="false">LN(D255/1007.23)*(-8645.2)+105</f>
        <v>38549.0627169794</v>
      </c>
      <c r="K255" s="4" t="n">
        <f aca="false">45438.5*(1-(D255/1007.23)^0.1903)+105</f>
        <v>26049.2257494299</v>
      </c>
      <c r="L255" s="4" t="n">
        <f aca="false">105+29.271*(273.15+B255)*LN(1007.23/D255)</f>
        <v>33220.9600687368</v>
      </c>
      <c r="M255" s="3" t="n">
        <f aca="false">M254-0.016/40</f>
        <v>4.07480000000001</v>
      </c>
      <c r="N255" s="12" t="n">
        <f aca="false">E255*(-F255)</f>
        <v>95.3816666666668</v>
      </c>
    </row>
    <row r="256" customFormat="false" ht="12.8" hidden="false" customHeight="false" outlineLevel="0" collapsed="false">
      <c r="A256" s="13" t="n">
        <v>0.680555555555556</v>
      </c>
      <c r="B256" s="2" t="n">
        <v>-18.0666666666667</v>
      </c>
      <c r="C256" s="2" t="n">
        <v>-31.1666666666667</v>
      </c>
      <c r="D256" s="2" t="n">
        <v>11.5600677637948</v>
      </c>
      <c r="E256" s="3" t="n">
        <v>3.78866666666667</v>
      </c>
      <c r="F256" s="2" t="n">
        <v>-24.6666666666667</v>
      </c>
      <c r="G256" s="1" t="n">
        <v>31201</v>
      </c>
      <c r="H256" s="1" t="n">
        <v>5.37</v>
      </c>
      <c r="I256" s="12" t="n">
        <f aca="false">H256*3.6</f>
        <v>19.332</v>
      </c>
      <c r="J256" s="4" t="n">
        <f aca="false">LN(D256/1007.23)*(-8645.2)+105</f>
        <v>38726.5884620085</v>
      </c>
      <c r="K256" s="4" t="n">
        <f aca="false">45438.5*(1-(D256/1007.23)^0.1903)+105</f>
        <v>26125.2555552789</v>
      </c>
      <c r="L256" s="4" t="n">
        <f aca="false">105+29.271*(273.15+B256)*LN(1007.23/D256)</f>
        <v>33461.0587675098</v>
      </c>
      <c r="M256" s="3" t="n">
        <f aca="false">M255-0.016/40</f>
        <v>4.07440000000001</v>
      </c>
      <c r="N256" s="12" t="n">
        <f aca="false">E256*(-F256)</f>
        <v>93.453777777778</v>
      </c>
    </row>
    <row r="257" customFormat="false" ht="12.8" hidden="false" customHeight="false" outlineLevel="0" collapsed="false">
      <c r="A257" s="14" t="n">
        <v>0.680902777777778</v>
      </c>
      <c r="B257" s="2" t="n">
        <v>-17.95</v>
      </c>
      <c r="C257" s="2" t="n">
        <v>-31.1</v>
      </c>
      <c r="D257" s="2" t="n">
        <v>11.3042433042917</v>
      </c>
      <c r="E257" s="3" t="n">
        <v>3.788</v>
      </c>
      <c r="F257" s="2" t="n">
        <v>-25.5</v>
      </c>
      <c r="G257" s="1" t="n">
        <v>31360</v>
      </c>
      <c r="H257" s="1" t="n">
        <v>5.21</v>
      </c>
      <c r="I257" s="12" t="n">
        <f aca="false">H257*3.6</f>
        <v>18.756</v>
      </c>
      <c r="J257" s="4" t="n">
        <f aca="false">LN(D257/1007.23)*(-8645.2)+105</f>
        <v>38920.0555566064</v>
      </c>
      <c r="K257" s="4" t="n">
        <f aca="false">45438.5*(1-(D257/1007.23)^0.1903)+105</f>
        <v>26207.7750183405</v>
      </c>
      <c r="L257" s="4" t="n">
        <f aca="false">105+29.271*(273.15+B257)*LN(1007.23/D257)</f>
        <v>33643.4816260564</v>
      </c>
      <c r="M257" s="3" t="n">
        <f aca="false">M256-0.016/40</f>
        <v>4.07400000000001</v>
      </c>
      <c r="N257" s="12" t="n">
        <f aca="false">E257*(-F257)</f>
        <v>96.594</v>
      </c>
    </row>
    <row r="258" customFormat="false" ht="12.8" hidden="false" customHeight="false" outlineLevel="0" collapsed="false">
      <c r="A258" s="13" t="n">
        <v>0.68125</v>
      </c>
      <c r="B258" s="2" t="n">
        <v>-18.3</v>
      </c>
      <c r="C258" s="2" t="n">
        <v>-31.1</v>
      </c>
      <c r="D258" s="2" t="n">
        <v>11.0484188447886</v>
      </c>
      <c r="E258" s="3" t="n">
        <v>3.78733333333333</v>
      </c>
      <c r="F258" s="2" t="n">
        <v>-25</v>
      </c>
      <c r="G258" s="1" t="n">
        <v>31501</v>
      </c>
      <c r="H258" s="1" t="n">
        <v>4.61</v>
      </c>
      <c r="I258" s="12" t="n">
        <f aca="false">H258*3.6</f>
        <v>16.596</v>
      </c>
      <c r="J258" s="4" t="n">
        <f aca="false">LN(D258/1007.23)*(-8645.2)+105</f>
        <v>39117.9514649792</v>
      </c>
      <c r="K258" s="4" t="n">
        <f aca="false">45438.5*(1-(D258/1007.23)^0.1903)+105</f>
        <v>26291.8207072083</v>
      </c>
      <c r="L258" s="4" t="n">
        <f aca="false">105+29.271*(273.15+B258)*LN(1007.23/D258)</f>
        <v>33768.2436356775</v>
      </c>
      <c r="M258" s="3" t="n">
        <f aca="false">M257-0.016/40</f>
        <v>4.07360000000001</v>
      </c>
      <c r="N258" s="12" t="n">
        <f aca="false">E258*(-F258)</f>
        <v>94.6833333333333</v>
      </c>
    </row>
    <row r="259" customFormat="false" ht="12.8" hidden="false" customHeight="false" outlineLevel="0" collapsed="false">
      <c r="A259" s="13" t="n">
        <v>0.681597222222222</v>
      </c>
      <c r="B259" s="2" t="n">
        <v>-18</v>
      </c>
      <c r="C259" s="2" t="n">
        <v>-31.1</v>
      </c>
      <c r="D259" s="2" t="n">
        <v>10.7925943852856</v>
      </c>
      <c r="E259" s="3" t="n">
        <v>3.78533333333333</v>
      </c>
      <c r="F259" s="2" t="n">
        <v>-24.6666666666667</v>
      </c>
      <c r="G259" s="1" t="n">
        <v>31643</v>
      </c>
      <c r="H259" s="1" t="n">
        <v>4.79</v>
      </c>
      <c r="I259" s="12" t="n">
        <f aca="false">H259*3.6</f>
        <v>17.244</v>
      </c>
      <c r="J259" s="4" t="n">
        <f aca="false">LN(D259/1007.23)*(-8645.2)+105</f>
        <v>39320.4837142842</v>
      </c>
      <c r="K259" s="4" t="n">
        <f aca="false">45438.5*(1-(D259/1007.23)^0.1903)+105</f>
        <v>26377.4571906477</v>
      </c>
      <c r="L259" s="4" t="n">
        <f aca="false">105+29.271*(273.15+B259)*LN(1007.23/D259)</f>
        <v>33982.8362019129</v>
      </c>
      <c r="M259" s="3" t="n">
        <f aca="false">M258-0.016/40</f>
        <v>4.07320000000001</v>
      </c>
      <c r="N259" s="12" t="n">
        <f aca="false">E259*(-F259)</f>
        <v>93.3715555555556</v>
      </c>
    </row>
    <row r="260" customFormat="false" ht="12.8" hidden="false" customHeight="false" outlineLevel="0" collapsed="false">
      <c r="A260" s="14" t="n">
        <v>0.681944444444445</v>
      </c>
      <c r="B260" s="2" t="n">
        <v>-17.7166666666667</v>
      </c>
      <c r="C260" s="2" t="n">
        <v>-31.1</v>
      </c>
      <c r="D260" s="2" t="n">
        <v>10.5527589545015</v>
      </c>
      <c r="E260" s="3" t="n">
        <v>3.784</v>
      </c>
      <c r="F260" s="2" t="n">
        <v>-25.3333333333333</v>
      </c>
      <c r="G260" s="1" t="n">
        <v>31796</v>
      </c>
      <c r="H260" s="1" t="n">
        <v>4.9</v>
      </c>
      <c r="I260" s="12" t="n">
        <f aca="false">H260*3.6</f>
        <v>17.64</v>
      </c>
      <c r="J260" s="4" t="n">
        <f aca="false">LN(D260/1007.23)*(-8645.2)+105</f>
        <v>39514.7660476964</v>
      </c>
      <c r="K260" s="4" t="n">
        <f aca="false">45438.5*(1-(D260/1007.23)^0.1903)+105</f>
        <v>26459.2473756779</v>
      </c>
      <c r="L260" s="4" t="n">
        <f aca="false">105+29.271*(273.15+B260)*LN(1007.23/D260)</f>
        <v>34188.4809164585</v>
      </c>
      <c r="M260" s="3" t="n">
        <f aca="false">M259-0.016/40</f>
        <v>4.07280000000001</v>
      </c>
      <c r="N260" s="12" t="n">
        <f aca="false">E260*(-F260)</f>
        <v>95.8613333333332</v>
      </c>
    </row>
    <row r="261" customFormat="false" ht="12.8" hidden="false" customHeight="false" outlineLevel="0" collapsed="false">
      <c r="A261" s="13" t="n">
        <v>0.682291666666667</v>
      </c>
      <c r="B261" s="2" t="n">
        <v>-17.6166666666667</v>
      </c>
      <c r="C261" s="2" t="n">
        <v>-31.1</v>
      </c>
      <c r="D261" s="2" t="n">
        <v>10.3608906098742</v>
      </c>
      <c r="E261" s="3" t="n">
        <v>3.784</v>
      </c>
      <c r="F261" s="2" t="n">
        <v>-25.1666666666667</v>
      </c>
      <c r="G261" s="1" t="n">
        <v>31946</v>
      </c>
      <c r="H261" s="1" t="n">
        <v>5.21</v>
      </c>
      <c r="I261" s="12" t="n">
        <f aca="false">H261*3.6</f>
        <v>18.756</v>
      </c>
      <c r="J261" s="4" t="n">
        <f aca="false">LN(D261/1007.23)*(-8645.2)+105</f>
        <v>39673.3980213107</v>
      </c>
      <c r="K261" s="4" t="n">
        <f aca="false">45438.5*(1-(D261/1007.23)^0.1903)+105</f>
        <v>26525.7703417302</v>
      </c>
      <c r="L261" s="4" t="n">
        <f aca="false">105+29.271*(273.15+B261)*LN(1007.23/D261)</f>
        <v>34339.0706621068</v>
      </c>
      <c r="M261" s="3" t="n">
        <f aca="false">M260-0.016/40</f>
        <v>4.07240000000001</v>
      </c>
      <c r="N261" s="12" t="n">
        <f aca="false">E261*(-F261)</f>
        <v>95.2306666666668</v>
      </c>
    </row>
    <row r="262" customFormat="false" ht="12.8" hidden="false" customHeight="false" outlineLevel="0" collapsed="false">
      <c r="A262" s="14" t="n">
        <v>0.682638888888889</v>
      </c>
      <c r="B262" s="2" t="n">
        <v>-16.95</v>
      </c>
      <c r="C262" s="2" t="n">
        <v>-31.1</v>
      </c>
      <c r="D262" s="2" t="n">
        <v>10.1530332365279</v>
      </c>
      <c r="E262" s="3" t="n">
        <v>3.78333333333333</v>
      </c>
      <c r="F262" s="2" t="n">
        <v>-25</v>
      </c>
      <c r="G262" s="1" t="n">
        <v>32100</v>
      </c>
      <c r="H262" s="1" t="n">
        <v>5.24</v>
      </c>
      <c r="I262" s="12" t="n">
        <f aca="false">H262*3.6</f>
        <v>18.864</v>
      </c>
      <c r="J262" s="4" t="n">
        <f aca="false">LN(D262/1007.23)*(-8645.2)+105</f>
        <v>39848.5990289884</v>
      </c>
      <c r="K262" s="4" t="n">
        <f aca="false">45438.5*(1-(D262/1007.23)^0.1903)+105</f>
        <v>26598.972155163</v>
      </c>
      <c r="L262" s="4" t="n">
        <f aca="false">105+29.271*(273.15+B262)*LN(1007.23/D262)</f>
        <v>34580.3618302503</v>
      </c>
      <c r="M262" s="3" t="n">
        <f aca="false">M261-0.016/40</f>
        <v>4.07200000000001</v>
      </c>
      <c r="N262" s="12" t="n">
        <f aca="false">E262*(-F262)</f>
        <v>94.5833333333333</v>
      </c>
    </row>
    <row r="263" customFormat="false" ht="12.8" hidden="false" customHeight="false" outlineLevel="0" collapsed="false">
      <c r="A263" s="13" t="n">
        <v>0.682986111111111</v>
      </c>
      <c r="B263" s="2" t="n">
        <v>-16.4666666666667</v>
      </c>
      <c r="C263" s="2" t="n">
        <v>-31.1</v>
      </c>
      <c r="D263" s="2" t="n">
        <v>9.96116489190061</v>
      </c>
      <c r="E263" s="3" t="n">
        <v>3.78266666666667</v>
      </c>
      <c r="F263" s="2" t="n">
        <v>-25.5</v>
      </c>
      <c r="G263" s="1" t="n">
        <v>32260</v>
      </c>
      <c r="H263" s="1" t="n">
        <v>5.49</v>
      </c>
      <c r="I263" s="12" t="n">
        <f aca="false">H263*3.6</f>
        <v>19.764</v>
      </c>
      <c r="J263" s="4" t="n">
        <f aca="false">LN(D263/1007.23)*(-8645.2)+105</f>
        <v>40013.5363051942</v>
      </c>
      <c r="K263" s="4" t="n">
        <f aca="false">45438.5*(1-(D263/1007.23)^0.1903)+105</f>
        <v>26667.6281087828</v>
      </c>
      <c r="L263" s="4" t="n">
        <f aca="false">105+29.271*(273.15+B263)*LN(1007.23/D263)</f>
        <v>34788.745049434</v>
      </c>
      <c r="M263" s="3" t="n">
        <f aca="false">M262-0.016/40</f>
        <v>4.07160000000001</v>
      </c>
      <c r="N263" s="12" t="n">
        <f aca="false">E263*(-F263)</f>
        <v>96.4580000000001</v>
      </c>
    </row>
    <row r="264" customFormat="false" ht="12.8" hidden="false" customHeight="false" outlineLevel="0" collapsed="false">
      <c r="A264" s="14" t="n">
        <v>0.683333333333333</v>
      </c>
      <c r="B264" s="2" t="n">
        <v>-15.9333333333333</v>
      </c>
      <c r="C264" s="2" t="n">
        <v>-31.1</v>
      </c>
      <c r="D264" s="2" t="n">
        <v>9.73731848983543</v>
      </c>
      <c r="E264" s="3" t="n">
        <v>3.78</v>
      </c>
      <c r="F264" s="2" t="n">
        <v>-25.1666666666667</v>
      </c>
      <c r="G264" s="1" t="n">
        <v>32422</v>
      </c>
      <c r="H264" s="1" t="n">
        <v>5.39</v>
      </c>
      <c r="I264" s="12" t="n">
        <f aca="false">H264*3.6</f>
        <v>19.404</v>
      </c>
      <c r="J264" s="4" t="n">
        <f aca="false">LN(D264/1007.23)*(-8645.2)+105</f>
        <v>40210.0265814098</v>
      </c>
      <c r="K264" s="4" t="n">
        <f aca="false">45438.5*(1-(D264/1007.23)^0.1903)+105</f>
        <v>26749.0934656062</v>
      </c>
      <c r="L264" s="4" t="n">
        <f aca="false">105+29.271*(273.15+B264)*LN(1007.23/D264)</f>
        <v>35031.9312429318</v>
      </c>
      <c r="M264" s="3" t="n">
        <f aca="false">M263-0.016/40</f>
        <v>4.07120000000001</v>
      </c>
      <c r="N264" s="12" t="n">
        <f aca="false">E264*(-F264)</f>
        <v>95.1300000000001</v>
      </c>
    </row>
    <row r="265" customFormat="false" ht="12.8" hidden="false" customHeight="false" outlineLevel="0" collapsed="false">
      <c r="A265" s="13" t="n">
        <v>0.683680555555556</v>
      </c>
      <c r="B265" s="2" t="n">
        <v>-15.65</v>
      </c>
      <c r="C265" s="2" t="n">
        <v>-31.1</v>
      </c>
      <c r="D265" s="2" t="n">
        <v>9.51347208777025</v>
      </c>
      <c r="E265" s="3" t="n">
        <v>3.77933333333333</v>
      </c>
      <c r="F265" s="2" t="n">
        <v>-24.5</v>
      </c>
      <c r="G265" s="1" t="n">
        <v>32588</v>
      </c>
      <c r="H265" s="1" t="n">
        <v>5.4</v>
      </c>
      <c r="I265" s="12" t="n">
        <f aca="false">H265*3.6</f>
        <v>19.44</v>
      </c>
      <c r="J265" s="4" t="n">
        <f aca="false">LN(D265/1007.23)*(-8645.2)+105</f>
        <v>40411.0868061924</v>
      </c>
      <c r="K265" s="4" t="n">
        <f aca="false">45438.5*(1-(D265/1007.23)^0.1903)+105</f>
        <v>26832.0895936944</v>
      </c>
      <c r="L265" s="4" t="n">
        <f aca="false">105+29.271*(273.15+B265)*LN(1007.23/D265)</f>
        <v>35245.6980437462</v>
      </c>
      <c r="M265" s="3" t="n">
        <f aca="false">M264-0.016/40</f>
        <v>4.07080000000001</v>
      </c>
      <c r="N265" s="12" t="n">
        <f aca="false">E265*(-F265)</f>
        <v>92.5936666666666</v>
      </c>
    </row>
    <row r="266" customFormat="false" ht="12.8" hidden="false" customHeight="false" outlineLevel="0" collapsed="false">
      <c r="A266" s="14" t="n">
        <v>0.684027777777778</v>
      </c>
      <c r="B266" s="2" t="n">
        <v>-15.7</v>
      </c>
      <c r="C266" s="2" t="n">
        <v>-31.1</v>
      </c>
      <c r="D266" s="2" t="n">
        <v>9.32160374314295</v>
      </c>
      <c r="E266" s="3" t="n">
        <v>3.78</v>
      </c>
      <c r="F266" s="2" t="n">
        <v>-25.6666666666667</v>
      </c>
      <c r="G266" s="1" t="n">
        <v>32755</v>
      </c>
      <c r="H266" s="1" t="n">
        <v>4.96</v>
      </c>
      <c r="I266" s="12" t="n">
        <f aca="false">H266*3.6</f>
        <v>17.856</v>
      </c>
      <c r="J266" s="4" t="n">
        <f aca="false">LN(D266/1007.23)*(-8645.2)+105</f>
        <v>40587.2260059782</v>
      </c>
      <c r="K266" s="4" t="n">
        <f aca="false">45438.5*(1-(D266/1007.23)^0.1903)+105</f>
        <v>26904.4972737109</v>
      </c>
      <c r="L266" s="4" t="n">
        <f aca="false">105+29.271*(273.15+B266)*LN(1007.23/D266)</f>
        <v>35392.411034335</v>
      </c>
      <c r="M266" s="3" t="n">
        <f aca="false">M265-0.016/40</f>
        <v>4.07040000000001</v>
      </c>
      <c r="N266" s="12" t="n">
        <f aca="false">E266*(-F266)</f>
        <v>97.0200000000001</v>
      </c>
    </row>
    <row r="267" customFormat="false" ht="12.8" hidden="false" customHeight="false" outlineLevel="0" collapsed="false">
      <c r="A267" s="13" t="n">
        <v>0.684375</v>
      </c>
      <c r="B267" s="2" t="n">
        <v>-15.5833333333333</v>
      </c>
      <c r="C267" s="2" t="n">
        <v>-31</v>
      </c>
      <c r="D267" s="2" t="n">
        <v>9.09775734107777</v>
      </c>
      <c r="E267" s="3" t="n">
        <v>3.77933333333333</v>
      </c>
      <c r="F267" s="2" t="n">
        <v>-25</v>
      </c>
      <c r="G267" s="1" t="n">
        <v>32906</v>
      </c>
      <c r="H267" s="1" t="n">
        <v>5.12</v>
      </c>
      <c r="I267" s="12" t="n">
        <f aca="false">H267*3.6</f>
        <v>18.432</v>
      </c>
      <c r="J267" s="4" t="n">
        <f aca="false">LN(D267/1007.23)*(-8645.2)+105</f>
        <v>40797.3627403065</v>
      </c>
      <c r="K267" s="4" t="n">
        <f aca="false">45438.5*(1-(D267/1007.23)^0.1903)+105</f>
        <v>26990.5142853472</v>
      </c>
      <c r="L267" s="4" t="n">
        <f aca="false">105+29.271*(273.15+B267)*LN(1007.23/D267)</f>
        <v>35591.6562535066</v>
      </c>
      <c r="M267" s="3" t="n">
        <f aca="false">M266-0.016/40</f>
        <v>4.07000000000001</v>
      </c>
      <c r="N267" s="12" t="n">
        <f aca="false">E267*(-F267)</f>
        <v>94.4833333333333</v>
      </c>
    </row>
    <row r="268" customFormat="false" ht="12.8" hidden="false" customHeight="false" outlineLevel="0" collapsed="false">
      <c r="A268" s="14" t="n">
        <v>0.684722222222222</v>
      </c>
      <c r="B268" s="2" t="n">
        <v>-15.5166666666667</v>
      </c>
      <c r="C268" s="2" t="n">
        <v>-31</v>
      </c>
      <c r="D268" s="2" t="n">
        <v>8.90588899645047</v>
      </c>
      <c r="E268" s="3" t="n">
        <v>3.77866666666667</v>
      </c>
      <c r="F268" s="2" t="n">
        <v>-25.1666666666667</v>
      </c>
      <c r="G268" s="1" t="n">
        <v>33054</v>
      </c>
      <c r="H268" s="1" t="n">
        <v>5.11</v>
      </c>
      <c r="I268" s="12" t="n">
        <f aca="false">H268*3.6</f>
        <v>18.396</v>
      </c>
      <c r="J268" s="4" t="n">
        <f aca="false">LN(D268/1007.23)*(-8645.2)+105</f>
        <v>40981.6368571961</v>
      </c>
      <c r="K268" s="4" t="n">
        <f aca="false">45438.5*(1-(D268/1007.23)^0.1903)+105</f>
        <v>27065.6179933913</v>
      </c>
      <c r="L268" s="4" t="n">
        <f aca="false">105+29.271*(273.15+B268)*LN(1007.23/D268)</f>
        <v>35761.5831884659</v>
      </c>
      <c r="M268" s="3" t="n">
        <f aca="false">M267-0.016/40</f>
        <v>4.06960000000001</v>
      </c>
      <c r="N268" s="12" t="n">
        <f aca="false">E268*(-F268)</f>
        <v>95.0964444444447</v>
      </c>
    </row>
    <row r="269" customFormat="false" ht="12.8" hidden="false" customHeight="false" outlineLevel="0" collapsed="false">
      <c r="A269" s="13" t="n">
        <v>0.685069444444445</v>
      </c>
      <c r="B269" s="2" t="n">
        <v>-15.8666666666667</v>
      </c>
      <c r="C269" s="2" t="n">
        <v>-31</v>
      </c>
      <c r="D269" s="2" t="n">
        <v>8.71402065182317</v>
      </c>
      <c r="E269" s="3" t="n">
        <v>3.77666666666667</v>
      </c>
      <c r="F269" s="2" t="n">
        <v>-26</v>
      </c>
      <c r="G269" s="1" t="n">
        <v>33201</v>
      </c>
      <c r="H269" s="1" t="n">
        <v>5</v>
      </c>
      <c r="I269" s="12" t="n">
        <f aca="false">H269*3.6</f>
        <v>18</v>
      </c>
      <c r="J269" s="4" t="n">
        <f aca="false">LN(D269/1007.23)*(-8645.2)+105</f>
        <v>41169.9245173928</v>
      </c>
      <c r="K269" s="4" t="n">
        <f aca="false">45438.5*(1-(D269/1007.23)^0.1903)+105</f>
        <v>27142.0434615644</v>
      </c>
      <c r="L269" s="4" t="n">
        <f aca="false">105+29.271*(273.15+B269)*LN(1007.23/D269)</f>
        <v>35877.1627173726</v>
      </c>
      <c r="M269" s="3" t="n">
        <f aca="false">M268-0.016/40</f>
        <v>4.06920000000001</v>
      </c>
      <c r="N269" s="12" t="n">
        <f aca="false">E269*(-F269)</f>
        <v>98.1933333333334</v>
      </c>
    </row>
    <row r="270" customFormat="false" ht="12.8" hidden="false" customHeight="false" outlineLevel="0" collapsed="false">
      <c r="A270" s="14" t="n">
        <v>0.685416666666667</v>
      </c>
      <c r="B270" s="2" t="n">
        <v>-16.65</v>
      </c>
      <c r="C270" s="2" t="n">
        <v>-31</v>
      </c>
      <c r="D270" s="2" t="n">
        <v>8.52215230719587</v>
      </c>
      <c r="E270" s="3" t="n">
        <v>3.776</v>
      </c>
      <c r="F270" s="2" t="n">
        <v>-25</v>
      </c>
      <c r="G270" s="1" t="n">
        <v>33355</v>
      </c>
      <c r="H270" s="1" t="n">
        <v>5.02</v>
      </c>
      <c r="I270" s="12" t="n">
        <f aca="false">H270*3.6</f>
        <v>18.072</v>
      </c>
      <c r="J270" s="4" t="n">
        <f aca="false">LN(D270/1007.23)*(-8645.2)+105</f>
        <v>41362.4044532169</v>
      </c>
      <c r="K270" s="4" t="n">
        <f aca="false">45438.5*(1-(D270/1007.23)^0.1903)+105</f>
        <v>27219.843838399</v>
      </c>
      <c r="L270" s="4" t="n">
        <f aca="false">105+29.271*(273.15+B270)*LN(1007.23/D270)</f>
        <v>35935.4107591384</v>
      </c>
      <c r="M270" s="3" t="n">
        <f aca="false">M269-0.016/40</f>
        <v>4.06880000000001</v>
      </c>
      <c r="N270" s="12" t="n">
        <f aca="false">E270*(-F270)</f>
        <v>94.4</v>
      </c>
    </row>
    <row r="271" customFormat="false" ht="12.8" hidden="false" customHeight="false" outlineLevel="0" collapsed="false">
      <c r="A271" s="13" t="n">
        <v>0.685763888888889</v>
      </c>
      <c r="B271" s="2" t="n">
        <v>-16.9166666666667</v>
      </c>
      <c r="C271" s="2" t="n">
        <v>-31</v>
      </c>
      <c r="D271" s="2" t="n">
        <v>8.36226202000646</v>
      </c>
      <c r="E271" s="3" t="n">
        <v>3.776</v>
      </c>
      <c r="F271" s="2" t="n">
        <v>-25</v>
      </c>
      <c r="G271" s="1" t="n">
        <v>33509</v>
      </c>
      <c r="H271" s="1" t="n">
        <v>4.78</v>
      </c>
      <c r="I271" s="12" t="n">
        <f aca="false">H271*3.6</f>
        <v>17.208</v>
      </c>
      <c r="J271" s="4" t="n">
        <f aca="false">LN(D271/1007.23)*(-8645.2)+105</f>
        <v>41526.1441962814</v>
      </c>
      <c r="K271" s="4" t="n">
        <f aca="false">45438.5*(1-(D271/1007.23)^0.1903)+105</f>
        <v>27285.7684467915</v>
      </c>
      <c r="L271" s="4" t="n">
        <f aca="false">105+29.271*(273.15+B271)*LN(1007.23/D271)</f>
        <v>36040.2137701499</v>
      </c>
      <c r="M271" s="3" t="n">
        <f aca="false">M270-0.016/40</f>
        <v>4.06840000000001</v>
      </c>
      <c r="N271" s="12" t="n">
        <f aca="false">E271*(-F271)</f>
        <v>94.4</v>
      </c>
    </row>
    <row r="272" customFormat="false" ht="12.8" hidden="false" customHeight="false" outlineLevel="0" collapsed="false">
      <c r="A272" s="14" t="n">
        <v>0.686111111111111</v>
      </c>
      <c r="B272" s="2" t="n">
        <v>-17.2666666666667</v>
      </c>
      <c r="C272" s="2" t="n">
        <v>-30.9833333333333</v>
      </c>
      <c r="D272" s="2" t="n">
        <v>8.20237173281704</v>
      </c>
      <c r="E272" s="3" t="n">
        <v>3.776</v>
      </c>
      <c r="F272" s="2" t="n">
        <v>-25.1666666666667</v>
      </c>
      <c r="G272" s="1" t="n">
        <v>33653</v>
      </c>
      <c r="H272" s="1" t="n">
        <v>5.03</v>
      </c>
      <c r="I272" s="12" t="n">
        <f aca="false">H272*3.6</f>
        <v>18.108</v>
      </c>
      <c r="J272" s="4" t="n">
        <f aca="false">LN(D272/1007.23)*(-8645.2)+105</f>
        <v>41693.0451327451</v>
      </c>
      <c r="K272" s="4" t="n">
        <f aca="false">45438.5*(1-(D272/1007.23)^0.1903)+105</f>
        <v>27352.721719451</v>
      </c>
      <c r="L272" s="4" t="n">
        <f aca="false">105+29.271*(273.15+B272)*LN(1007.23/D272)</f>
        <v>36135.7266679664</v>
      </c>
      <c r="M272" s="3" t="n">
        <f aca="false">M271-0.016/40</f>
        <v>4.06800000000001</v>
      </c>
      <c r="N272" s="12" t="n">
        <f aca="false">E272*(-F272)</f>
        <v>95.0293333333335</v>
      </c>
    </row>
    <row r="273" customFormat="false" ht="12.8" hidden="false" customHeight="false" outlineLevel="0" collapsed="false">
      <c r="A273" s="13" t="n">
        <v>0.686458333333333</v>
      </c>
      <c r="B273" s="2" t="n">
        <v>-17.1666666666667</v>
      </c>
      <c r="C273" s="2" t="n">
        <v>-30.9</v>
      </c>
      <c r="D273" s="2" t="n">
        <v>8.02649241690868</v>
      </c>
      <c r="E273" s="3" t="n">
        <v>3.776</v>
      </c>
      <c r="F273" s="2" t="n">
        <v>-25.6666666666667</v>
      </c>
      <c r="G273" s="1" t="n">
        <v>33802</v>
      </c>
      <c r="H273" s="1" t="n">
        <v>5.04</v>
      </c>
      <c r="I273" s="12" t="n">
        <f aca="false">H273*3.6</f>
        <v>18.144</v>
      </c>
      <c r="J273" s="4" t="n">
        <f aca="false">LN(D273/1007.23)*(-8645.2)+105</f>
        <v>41880.4361146565</v>
      </c>
      <c r="K273" s="4" t="n">
        <f aca="false">45438.5*(1-(D273/1007.23)^0.1903)+105</f>
        <v>27427.6021460803</v>
      </c>
      <c r="L273" s="4" t="n">
        <f aca="false">105+29.271*(273.15+B273)*LN(1007.23/D273)</f>
        <v>36312.2213742414</v>
      </c>
      <c r="M273" s="3" t="n">
        <f aca="false">M272-0.016/40</f>
        <v>4.06760000000001</v>
      </c>
      <c r="N273" s="12" t="n">
        <f aca="false">E273*(-F273)</f>
        <v>96.9173333333335</v>
      </c>
    </row>
    <row r="274" customFormat="false" ht="12.8" hidden="false" customHeight="false" outlineLevel="0" collapsed="false">
      <c r="A274" s="14" t="n">
        <v>0.686805555555556</v>
      </c>
      <c r="B274" s="2" t="n">
        <v>-17.2166666666667</v>
      </c>
      <c r="C274" s="2" t="n">
        <v>-30.9</v>
      </c>
      <c r="D274" s="2" t="n">
        <v>7.86660212971926</v>
      </c>
      <c r="E274" s="3" t="n">
        <v>3.77466666666667</v>
      </c>
      <c r="F274" s="2" t="n">
        <v>-24.6666666666667</v>
      </c>
      <c r="G274" s="1" t="n">
        <v>33946</v>
      </c>
      <c r="H274" s="1" t="n">
        <v>4.88</v>
      </c>
      <c r="I274" s="12" t="n">
        <f aca="false">H274*3.6</f>
        <v>17.568</v>
      </c>
      <c r="J274" s="4" t="n">
        <f aca="false">LN(D274/1007.23)*(-8645.2)+105</f>
        <v>42054.3896695961</v>
      </c>
      <c r="K274" s="4" t="n">
        <f aca="false">45438.5*(1-(D274/1007.23)^0.1903)+105</f>
        <v>27496.8371468537</v>
      </c>
      <c r="L274" s="4" t="n">
        <f aca="false">105+29.271*(273.15+B274)*LN(1007.23/D274)</f>
        <v>36455.8871658028</v>
      </c>
      <c r="M274" s="3" t="n">
        <f aca="false">M273-0.016/40</f>
        <v>4.06720000000001</v>
      </c>
      <c r="N274" s="12" t="n">
        <f aca="false">E274*(-F274)</f>
        <v>93.1084444444447</v>
      </c>
    </row>
    <row r="275" customFormat="false" ht="12.8" hidden="false" customHeight="false" outlineLevel="0" collapsed="false">
      <c r="A275" s="13" t="n">
        <v>0.687152777777778</v>
      </c>
      <c r="B275" s="2" t="n">
        <v>-17.1666666666667</v>
      </c>
      <c r="C275" s="2" t="n">
        <v>-30.9</v>
      </c>
      <c r="D275" s="2" t="n">
        <v>7.70671184252985</v>
      </c>
      <c r="E275" s="3" t="n">
        <v>3.77533333333333</v>
      </c>
      <c r="F275" s="2" t="n">
        <v>-25.3333333333333</v>
      </c>
      <c r="G275" s="1" t="n">
        <v>34093</v>
      </c>
      <c r="H275" s="1" t="n">
        <v>5.02</v>
      </c>
      <c r="I275" s="12" t="n">
        <f aca="false">H275*3.6</f>
        <v>18.072</v>
      </c>
      <c r="J275" s="4" t="n">
        <f aca="false">LN(D275/1007.23)*(-8645.2)+105</f>
        <v>42231.9154146252</v>
      </c>
      <c r="K275" s="4" t="n">
        <f aca="false">45438.5*(1-(D275/1007.23)^0.1903)+105</f>
        <v>27567.2211096169</v>
      </c>
      <c r="L275" s="4" t="n">
        <f aca="false">105+29.271*(273.15+B275)*LN(1007.23/D275)</f>
        <v>36616.8522771361</v>
      </c>
      <c r="M275" s="3" t="n">
        <f aca="false">M274-0.016/40</f>
        <v>4.06680000000001</v>
      </c>
      <c r="N275" s="12" t="n">
        <f aca="false">E275*(-F275)</f>
        <v>95.6417777777776</v>
      </c>
    </row>
    <row r="276" customFormat="false" ht="12.8" hidden="false" customHeight="false" outlineLevel="0" collapsed="false">
      <c r="A276" s="14" t="n">
        <v>0.6875</v>
      </c>
      <c r="B276" s="2" t="n">
        <v>-15.9333333333333</v>
      </c>
      <c r="C276" s="2" t="n">
        <v>-30.9</v>
      </c>
      <c r="D276" s="2" t="n">
        <v>7.56281058405937</v>
      </c>
      <c r="E276" s="3" t="n">
        <v>3.776</v>
      </c>
      <c r="F276" s="2" t="n">
        <v>-25.5</v>
      </c>
      <c r="G276" s="1" t="n">
        <v>34237</v>
      </c>
      <c r="H276" s="1" t="n">
        <v>4.75</v>
      </c>
      <c r="I276" s="12" t="n">
        <f aca="false">H276*3.6</f>
        <v>17.1</v>
      </c>
      <c r="J276" s="4" t="n">
        <f aca="false">LN(D276/1007.23)*(-8645.2)+105</f>
        <v>42394.866416825</v>
      </c>
      <c r="K276" s="4" t="n">
        <f aca="false">45438.5*(1-(D276/1007.23)^0.1903)+105</f>
        <v>27631.5849458696</v>
      </c>
      <c r="L276" s="4" t="n">
        <f aca="false">105+29.271*(273.15+B276)*LN(1007.23/D276)</f>
        <v>36934.6790332483</v>
      </c>
      <c r="M276" s="3" t="n">
        <f aca="false">M275-0.016/40</f>
        <v>4.06640000000001</v>
      </c>
      <c r="N276" s="12" t="n">
        <f aca="false">E276*(-F276)</f>
        <v>96.288</v>
      </c>
    </row>
    <row r="277" customFormat="false" ht="12.8" hidden="false" customHeight="false" outlineLevel="0" collapsed="false">
      <c r="A277" s="13" t="n">
        <v>0.687847222222222</v>
      </c>
      <c r="B277" s="2" t="n">
        <v>-14.9333333333333</v>
      </c>
      <c r="C277" s="2" t="n">
        <v>-30.85</v>
      </c>
      <c r="D277" s="2" t="n">
        <v>7.38693126815102</v>
      </c>
      <c r="E277" s="3" t="n">
        <v>3.774</v>
      </c>
      <c r="F277" s="2" t="n">
        <v>-25.6666666666667</v>
      </c>
      <c r="G277" s="1" t="n">
        <v>34373</v>
      </c>
      <c r="H277" s="1" t="n">
        <v>4.74</v>
      </c>
      <c r="I277" s="12" t="n">
        <f aca="false">H277*3.6</f>
        <v>17.064</v>
      </c>
      <c r="J277" s="4" t="n">
        <f aca="false">LN(D277/1007.23)*(-8645.2)+105</f>
        <v>42598.2922730356</v>
      </c>
      <c r="K277" s="4" t="n">
        <f aca="false">45438.5*(1-(D277/1007.23)^0.1903)+105</f>
        <v>27711.6125704851</v>
      </c>
      <c r="L277" s="4" t="n">
        <f aca="false">105+29.271*(273.15+B277)*LN(1007.23/D277)</f>
        <v>37255.7140818325</v>
      </c>
      <c r="M277" s="3" t="n">
        <f aca="false">M276-0.016/40</f>
        <v>4.06600000000001</v>
      </c>
      <c r="N277" s="12" t="n">
        <f aca="false">E277*(-F277)</f>
        <v>96.8660000000001</v>
      </c>
    </row>
    <row r="278" customFormat="false" ht="12.8" hidden="false" customHeight="false" outlineLevel="0" collapsed="false">
      <c r="A278" s="14" t="n">
        <v>0.688194444444444</v>
      </c>
      <c r="B278" s="2" t="n">
        <v>-14.1833333333333</v>
      </c>
      <c r="C278" s="2" t="n">
        <v>-30.8</v>
      </c>
      <c r="D278" s="2" t="n">
        <v>7.25901903839948</v>
      </c>
      <c r="E278" s="3" t="n">
        <v>3.77466666666667</v>
      </c>
      <c r="F278" s="2" t="n">
        <v>-25.3333333333333</v>
      </c>
      <c r="G278" s="1" t="n">
        <v>34528</v>
      </c>
      <c r="H278" s="1" t="n">
        <v>4.88</v>
      </c>
      <c r="I278" s="12" t="n">
        <f aca="false">H278*3.6</f>
        <v>17.568</v>
      </c>
      <c r="J278" s="4" t="n">
        <f aca="false">LN(D278/1007.23)*(-8645.2)+105</f>
        <v>42749.3039729084</v>
      </c>
      <c r="K278" s="4" t="n">
        <f aca="false">45438.5*(1-(D278/1007.23)^0.1903)+105</f>
        <v>27770.7891738738</v>
      </c>
      <c r="L278" s="4" t="n">
        <f aca="false">105+29.271*(273.15+B278)*LN(1007.23/D278)</f>
        <v>37496.028564369</v>
      </c>
      <c r="M278" s="3" t="n">
        <f aca="false">M277-0.016/40</f>
        <v>4.06560000000001</v>
      </c>
      <c r="N278" s="12" t="n">
        <f aca="false">E278*(-F278)</f>
        <v>95.6248888888889</v>
      </c>
    </row>
    <row r="279" customFormat="false" ht="12.8" hidden="false" customHeight="false" outlineLevel="0" collapsed="false">
      <c r="A279" s="13" t="n">
        <v>0.688541666666667</v>
      </c>
      <c r="B279" s="2" t="n">
        <v>-13.9666666666667</v>
      </c>
      <c r="C279" s="2" t="n">
        <v>-30.8</v>
      </c>
      <c r="D279" s="2" t="n">
        <v>7.14709583736689</v>
      </c>
      <c r="E279" s="3" t="n">
        <v>3.774</v>
      </c>
      <c r="F279" s="2" t="n">
        <v>-25.3333333333333</v>
      </c>
      <c r="G279" s="1" t="n">
        <v>34676</v>
      </c>
      <c r="H279" s="1" t="n">
        <v>4.78</v>
      </c>
      <c r="I279" s="12" t="n">
        <f aca="false">H279*3.6</f>
        <v>17.208</v>
      </c>
      <c r="J279" s="4" t="n">
        <f aca="false">LN(D279/1007.23)*(-8645.2)+105</f>
        <v>42883.6383072622</v>
      </c>
      <c r="K279" s="4" t="n">
        <f aca="false">45438.5*(1-(D279/1007.23)^0.1903)+105</f>
        <v>27823.265388603</v>
      </c>
      <c r="L279" s="4" t="n">
        <f aca="false">105+29.271*(273.15+B279)*LN(1007.23/D279)</f>
        <v>37645.1965617539</v>
      </c>
      <c r="M279" s="3" t="n">
        <f aca="false">M278-0.016/40</f>
        <v>4.06520000000001</v>
      </c>
      <c r="N279" s="12" t="n">
        <f aca="false">E279*(-F279)</f>
        <v>95.6079999999999</v>
      </c>
    </row>
    <row r="280" customFormat="false" ht="12.8" hidden="false" customHeight="false" outlineLevel="0" collapsed="false">
      <c r="A280" s="14" t="n">
        <v>0.688888888888889</v>
      </c>
      <c r="B280" s="2" t="n">
        <v>-12.6166666666667</v>
      </c>
      <c r="C280" s="2" t="n">
        <v>-30.7166666666667</v>
      </c>
      <c r="D280" s="2" t="n">
        <v>6.98720555017748</v>
      </c>
      <c r="E280" s="3" t="n">
        <v>3.77266666666667</v>
      </c>
      <c r="F280" s="2" t="n">
        <v>-25.5</v>
      </c>
      <c r="G280" s="1" t="n">
        <v>34818</v>
      </c>
      <c r="H280" s="1" t="n">
        <v>4.78</v>
      </c>
      <c r="I280" s="12" t="n">
        <f aca="false">H280*3.6</f>
        <v>17.208</v>
      </c>
      <c r="J280" s="4" t="n">
        <f aca="false">LN(D280/1007.23)*(-8645.2)+105</f>
        <v>43079.239411175</v>
      </c>
      <c r="K280" s="4" t="n">
        <f aca="false">45438.5*(1-(D280/1007.23)^0.1903)+105</f>
        <v>27899.3978543688</v>
      </c>
      <c r="L280" s="4" t="n">
        <f aca="false">105+29.271*(273.15+B280)*LN(1007.23/D280)</f>
        <v>38013.2738994433</v>
      </c>
      <c r="M280" s="3" t="n">
        <f aca="false">M279-0.016/40</f>
        <v>4.06480000000001</v>
      </c>
      <c r="N280" s="12" t="n">
        <f aca="false">E280*(-F280)</f>
        <v>96.2030000000001</v>
      </c>
    </row>
    <row r="281" customFormat="false" ht="12.8" hidden="false" customHeight="false" outlineLevel="0" collapsed="false">
      <c r="A281" s="13" t="n">
        <v>0.689236111111111</v>
      </c>
      <c r="B281" s="2" t="n">
        <v>-11.15</v>
      </c>
      <c r="C281" s="2" t="n">
        <v>-30.7</v>
      </c>
      <c r="D281" s="2" t="n">
        <v>6.843304291707</v>
      </c>
      <c r="E281" s="3" t="n">
        <v>3.77266666666667</v>
      </c>
      <c r="F281" s="2" t="n">
        <v>-25.1666666666667</v>
      </c>
      <c r="G281" s="1" t="n">
        <v>34958</v>
      </c>
      <c r="H281" s="1" t="n">
        <v>4.54</v>
      </c>
      <c r="I281" s="12" t="n">
        <f aca="false">H281*3.6</f>
        <v>16.344</v>
      </c>
      <c r="J281" s="4" t="n">
        <f aca="false">LN(D281/1007.23)*(-8645.2)+105</f>
        <v>43259.1460189717</v>
      </c>
      <c r="K281" s="4" t="n">
        <f aca="false">45438.5*(1-(D281/1007.23)^0.1903)+105</f>
        <v>27969.1328489313</v>
      </c>
      <c r="L281" s="4" t="n">
        <f aca="false">105+29.271*(273.15+B281)*LN(1007.23/D281)</f>
        <v>38386.2696210366</v>
      </c>
      <c r="M281" s="3" t="n">
        <f aca="false">M280-0.016/40</f>
        <v>4.06440000000001</v>
      </c>
      <c r="N281" s="12" t="n">
        <f aca="false">E281*(-F281)</f>
        <v>94.9454444444447</v>
      </c>
    </row>
    <row r="282" customFormat="false" ht="12.8" hidden="false" customHeight="false" outlineLevel="0" collapsed="false">
      <c r="A282" s="14" t="n">
        <v>0.689583333333333</v>
      </c>
      <c r="B282" s="2" t="n">
        <v>-10.4666666666667</v>
      </c>
      <c r="C282" s="2" t="n">
        <v>-30.6</v>
      </c>
      <c r="D282" s="2" t="n">
        <v>6.74737011939335</v>
      </c>
      <c r="E282" s="3" t="n">
        <v>3.772</v>
      </c>
      <c r="F282" s="2" t="n">
        <v>-24.8333333333333</v>
      </c>
      <c r="G282" s="1" t="n">
        <v>35094</v>
      </c>
      <c r="H282" s="1" t="n">
        <v>4.37</v>
      </c>
      <c r="I282" s="12" t="n">
        <f aca="false">H282*3.6</f>
        <v>15.732</v>
      </c>
      <c r="J282" s="4" t="n">
        <f aca="false">LN(D282/1007.23)*(-8645.2)+105</f>
        <v>43381.1979285113</v>
      </c>
      <c r="K282" s="4" t="n">
        <f aca="false">45438.5*(1-(D282/1007.23)^0.1903)+105</f>
        <v>28016.2853520864</v>
      </c>
      <c r="L282" s="4" t="n">
        <f aca="false">105+29.271*(273.15+B282)*LN(1007.23/D282)</f>
        <v>38594.6650726051</v>
      </c>
      <c r="M282" s="3" t="n">
        <f aca="false">M281-0.016/40</f>
        <v>4.06400000000001</v>
      </c>
      <c r="N282" s="12" t="n">
        <f aca="false">E282*(-F282)</f>
        <v>93.6713333333332</v>
      </c>
    </row>
    <row r="283" customFormat="false" ht="12.8" hidden="false" customHeight="false" outlineLevel="0" collapsed="false">
      <c r="A283" s="13" t="n">
        <v>0.689930555555556</v>
      </c>
      <c r="B283" s="2" t="n">
        <v>-9.96666666666667</v>
      </c>
      <c r="C283" s="2" t="n">
        <v>-30.5833333333333</v>
      </c>
      <c r="D283" s="2" t="n">
        <v>6.60346886092288</v>
      </c>
      <c r="E283" s="3" t="n">
        <v>3.77333333333333</v>
      </c>
      <c r="F283" s="2" t="n">
        <v>-25.6666666666667</v>
      </c>
      <c r="G283" s="1" t="n">
        <v>35233</v>
      </c>
      <c r="H283" s="1" t="n">
        <v>4.41</v>
      </c>
      <c r="I283" s="12" t="n">
        <f aca="false">H283*3.6</f>
        <v>15.876</v>
      </c>
      <c r="J283" s="4" t="n">
        <f aca="false">LN(D283/1007.23)*(-8645.2)+105</f>
        <v>43567.5687387487</v>
      </c>
      <c r="K283" s="4" t="n">
        <f aca="false">45438.5*(1-(D283/1007.23)^0.1903)+105</f>
        <v>28088.0423092612</v>
      </c>
      <c r="L283" s="4" t="n">
        <f aca="false">105+29.271*(273.15+B283)*LN(1007.23/D283)</f>
        <v>38834.0004612854</v>
      </c>
      <c r="M283" s="3" t="n">
        <f aca="false">M282-0.016/40</f>
        <v>4.06360000000001</v>
      </c>
      <c r="N283" s="12" t="n">
        <f aca="false">E283*(-F283)</f>
        <v>96.8488888888889</v>
      </c>
    </row>
    <row r="284" customFormat="false" ht="12.8" hidden="false" customHeight="false" outlineLevel="0" collapsed="false">
      <c r="A284" s="14" t="n">
        <v>0.690277777777778</v>
      </c>
      <c r="B284" s="2" t="n">
        <v>-10.0166666666667</v>
      </c>
      <c r="C284" s="2" t="n">
        <v>-30.5</v>
      </c>
      <c r="D284" s="2" t="n">
        <v>6.50753468860923</v>
      </c>
      <c r="E284" s="3" t="n">
        <v>3.772</v>
      </c>
      <c r="F284" s="2" t="n">
        <v>-25.3333333333333</v>
      </c>
      <c r="G284" s="1" t="n">
        <v>35358</v>
      </c>
      <c r="H284" s="1" t="n">
        <v>4.21</v>
      </c>
      <c r="I284" s="12" t="n">
        <f aca="false">H284*3.6</f>
        <v>15.156</v>
      </c>
      <c r="J284" s="4" t="n">
        <f aca="false">LN(D284/1007.23)*(-8645.2)+105</f>
        <v>43694.0861186271</v>
      </c>
      <c r="K284" s="4" t="n">
        <f aca="false">45438.5*(1-(D284/1007.23)^0.1903)+105</f>
        <v>28136.5868698641</v>
      </c>
      <c r="L284" s="4" t="n">
        <f aca="false">105+29.271*(273.15+B284)*LN(1007.23/D284)</f>
        <v>38939.3594418875</v>
      </c>
      <c r="M284" s="3" t="n">
        <f aca="false">M283-0.016/40</f>
        <v>4.06320000000001</v>
      </c>
      <c r="N284" s="12" t="n">
        <f aca="false">E284*(-F284)</f>
        <v>95.5573333333332</v>
      </c>
    </row>
    <row r="285" customFormat="false" ht="12.8" hidden="false" customHeight="false" outlineLevel="0" collapsed="false">
      <c r="A285" s="13" t="n">
        <v>0.690625</v>
      </c>
      <c r="B285" s="2" t="n">
        <v>-10.1666666666667</v>
      </c>
      <c r="C285" s="2" t="n">
        <v>-30.4833333333333</v>
      </c>
      <c r="D285" s="2" t="n">
        <v>6.3796224588577</v>
      </c>
      <c r="E285" s="3" t="n">
        <v>3.77266666666667</v>
      </c>
      <c r="F285" s="2" t="n">
        <v>-25.1666666666667</v>
      </c>
      <c r="G285" s="1" t="n">
        <v>35481</v>
      </c>
      <c r="H285" s="1" t="n">
        <v>4.2</v>
      </c>
      <c r="I285" s="12" t="n">
        <f aca="false">H285*3.6</f>
        <v>15.12</v>
      </c>
      <c r="J285" s="4" t="n">
        <f aca="false">LN(D285/1007.23)*(-8645.2)+105</f>
        <v>43865.7086281192</v>
      </c>
      <c r="K285" s="4" t="n">
        <f aca="false">45438.5*(1-(D285/1007.23)^0.1903)+105</f>
        <v>28202.2225023658</v>
      </c>
      <c r="L285" s="4" t="n">
        <f aca="false">105+29.271*(273.15+B285)*LN(1007.23/D285)</f>
        <v>39070.0364399913</v>
      </c>
      <c r="M285" s="3" t="n">
        <f aca="false">M284-0.016/40</f>
        <v>4.06280000000001</v>
      </c>
      <c r="N285" s="12" t="n">
        <f aca="false">E285*(-F285)</f>
        <v>94.9454444444447</v>
      </c>
    </row>
    <row r="286" customFormat="false" ht="12.8" hidden="false" customHeight="false" outlineLevel="0" collapsed="false">
      <c r="A286" s="14" t="n">
        <v>0.690972222222222</v>
      </c>
      <c r="B286" s="2" t="n">
        <v>-10.5666666666667</v>
      </c>
      <c r="C286" s="2" t="n">
        <v>-30.4</v>
      </c>
      <c r="D286" s="2" t="n">
        <v>6.26769925782511</v>
      </c>
      <c r="E286" s="3" t="n">
        <v>3.77333333333333</v>
      </c>
      <c r="F286" s="2" t="n">
        <v>-25</v>
      </c>
      <c r="G286" s="1" t="n">
        <v>35611</v>
      </c>
      <c r="H286" s="1" t="n">
        <v>4.59</v>
      </c>
      <c r="I286" s="12" t="n">
        <f aca="false">H286*3.6</f>
        <v>16.524</v>
      </c>
      <c r="J286" s="4" t="n">
        <f aca="false">LN(D286/1007.23)*(-8645.2)+105</f>
        <v>44018.7250120589</v>
      </c>
      <c r="K286" s="4" t="n">
        <f aca="false">45438.5*(1-(D286/1007.23)^0.1903)+105</f>
        <v>28260.5336473945</v>
      </c>
      <c r="L286" s="4" t="n">
        <f aca="false">105+29.271*(273.15+B286)*LN(1007.23/D286)</f>
        <v>39146.8105794059</v>
      </c>
      <c r="M286" s="3" t="n">
        <f aca="false">M285-0.016/40</f>
        <v>4.06240000000001</v>
      </c>
      <c r="N286" s="12" t="n">
        <f aca="false">E286*(-F286)</f>
        <v>94.3333333333332</v>
      </c>
    </row>
    <row r="287" customFormat="false" ht="12.8" hidden="false" customHeight="false" outlineLevel="0" collapsed="false">
      <c r="A287" s="13" t="n">
        <v>0.691319444444445</v>
      </c>
      <c r="B287" s="2" t="n">
        <v>-10.75</v>
      </c>
      <c r="C287" s="2" t="n">
        <v>-30.3666666666667</v>
      </c>
      <c r="D287" s="2" t="n">
        <v>6.17176508551146</v>
      </c>
      <c r="E287" s="3" t="n">
        <v>3.774</v>
      </c>
      <c r="F287" s="2" t="n">
        <v>-25</v>
      </c>
      <c r="G287" s="1" t="n">
        <v>35742</v>
      </c>
      <c r="H287" s="1" t="n">
        <v>4.41</v>
      </c>
      <c r="I287" s="12" t="n">
        <f aca="false">H287*3.6</f>
        <v>15.876</v>
      </c>
      <c r="J287" s="4" t="n">
        <f aca="false">LN(D287/1007.23)*(-8645.2)+105</f>
        <v>44152.0726429181</v>
      </c>
      <c r="K287" s="4" t="n">
        <f aca="false">45438.5*(1-(D287/1007.23)^0.1903)+105</f>
        <v>28311.1895549645</v>
      </c>
      <c r="L287" s="4" t="n">
        <f aca="false">105+29.271*(273.15+B287)*LN(1007.23/D287)</f>
        <v>39238.0228263101</v>
      </c>
      <c r="M287" s="3" t="n">
        <f aca="false">M286-0.016/40</f>
        <v>4.06200000000001</v>
      </c>
      <c r="N287" s="12" t="n">
        <f aca="false">E287*(-F287)</f>
        <v>94.35</v>
      </c>
    </row>
    <row r="288" customFormat="false" ht="12.8" hidden="false" customHeight="false" outlineLevel="0" collapsed="false">
      <c r="A288" s="14" t="n">
        <v>0.691666666666667</v>
      </c>
      <c r="B288" s="2" t="n">
        <v>-11.6166666666667</v>
      </c>
      <c r="C288" s="2" t="n">
        <v>-30.3</v>
      </c>
      <c r="D288" s="2" t="n">
        <v>6.05984188447886</v>
      </c>
      <c r="E288" s="3" t="n">
        <v>3.77466666666667</v>
      </c>
      <c r="F288" s="2" t="n">
        <v>-25.3333333333333</v>
      </c>
      <c r="G288" s="1" t="n">
        <v>35872</v>
      </c>
      <c r="H288" s="1" t="n">
        <v>4.54</v>
      </c>
      <c r="I288" s="12" t="n">
        <f aca="false">H288*3.6</f>
        <v>16.344</v>
      </c>
      <c r="J288" s="4" t="n">
        <f aca="false">LN(D288/1007.23)*(-8645.2)+105</f>
        <v>44310.2898692369</v>
      </c>
      <c r="K288" s="4" t="n">
        <f aca="false">45438.5*(1-(D288/1007.23)^0.1903)+105</f>
        <v>28371.1003355946</v>
      </c>
      <c r="L288" s="4" t="n">
        <f aca="false">105+29.271*(273.15+B288)*LN(1007.23/D288)</f>
        <v>39248.8741728591</v>
      </c>
      <c r="M288" s="3" t="n">
        <f aca="false">M287-0.016/40</f>
        <v>4.06160000000001</v>
      </c>
      <c r="N288" s="12" t="n">
        <f aca="false">E288*(-F288)</f>
        <v>95.6248888888889</v>
      </c>
    </row>
    <row r="289" customFormat="false" ht="12.8" hidden="false" customHeight="false" outlineLevel="0" collapsed="false">
      <c r="A289" s="13" t="n">
        <v>0.692013888888889</v>
      </c>
      <c r="B289" s="2" t="n">
        <v>-11.5166666666667</v>
      </c>
      <c r="C289" s="2" t="n">
        <v>-30.2666666666667</v>
      </c>
      <c r="D289" s="2" t="n">
        <v>5.97989674088416</v>
      </c>
      <c r="E289" s="3" t="n">
        <v>3.77466666666667</v>
      </c>
      <c r="F289" s="2" t="n">
        <v>-25.5</v>
      </c>
      <c r="G289" s="1" t="n">
        <v>36012</v>
      </c>
      <c r="H289" s="1" t="n">
        <v>4.99</v>
      </c>
      <c r="I289" s="12" t="n">
        <f aca="false">H289*3.6</f>
        <v>17.964</v>
      </c>
      <c r="J289" s="4" t="n">
        <f aca="false">LN(D289/1007.23)*(-8645.2)+105</f>
        <v>44425.1016496073</v>
      </c>
      <c r="K289" s="4" t="n">
        <f aca="false">45438.5*(1-(D289/1007.23)^0.1903)+105</f>
        <v>28414.4446871617</v>
      </c>
      <c r="L289" s="4" t="n">
        <f aca="false">105+29.271*(273.15+B289)*LN(1007.23/D289)</f>
        <v>39365.5461800846</v>
      </c>
      <c r="M289" s="3" t="n">
        <f aca="false">M288-0.016/40</f>
        <v>4.06120000000001</v>
      </c>
      <c r="N289" s="12" t="n">
        <f aca="false">E289*(-F289)</f>
        <v>96.2540000000001</v>
      </c>
    </row>
    <row r="290" customFormat="false" ht="12.8" hidden="false" customHeight="false" outlineLevel="0" collapsed="false">
      <c r="A290" s="14" t="n">
        <v>0.692361111111111</v>
      </c>
      <c r="B290" s="2" t="n">
        <v>-11.5833333333333</v>
      </c>
      <c r="C290" s="2" t="n">
        <v>-30.2</v>
      </c>
      <c r="D290" s="2" t="n">
        <v>5.86797353985156</v>
      </c>
      <c r="E290" s="3" t="n">
        <v>3.774</v>
      </c>
      <c r="F290" s="2" t="n">
        <v>-24.8333333333333</v>
      </c>
      <c r="G290" s="1" t="n">
        <v>36166</v>
      </c>
      <c r="H290" s="1" t="n">
        <v>4.89</v>
      </c>
      <c r="I290" s="12" t="n">
        <f aca="false">H290*3.6</f>
        <v>17.604</v>
      </c>
      <c r="J290" s="4" t="n">
        <f aca="false">LN(D290/1007.23)*(-8645.2)+105</f>
        <v>44588.4436206141</v>
      </c>
      <c r="K290" s="4" t="n">
        <f aca="false">45438.5*(1-(D290/1007.23)^0.1903)+105</f>
        <v>28475.9219359842</v>
      </c>
      <c r="L290" s="4" t="n">
        <f aca="false">105+29.271*(273.15+B290)*LN(1007.23/D290)</f>
        <v>39500.2003014561</v>
      </c>
      <c r="M290" s="3" t="n">
        <f aca="false">M289-0.016/40</f>
        <v>4.06080000000001</v>
      </c>
      <c r="N290" s="12" t="n">
        <f aca="false">E290*(-F290)</f>
        <v>93.7209999999999</v>
      </c>
    </row>
    <row r="291" customFormat="false" ht="12.8" hidden="false" customHeight="false" outlineLevel="0" collapsed="false">
      <c r="A291" s="13" t="n">
        <v>0.692708333333333</v>
      </c>
      <c r="B291" s="2" t="n">
        <v>-11.7666666666667</v>
      </c>
      <c r="C291" s="2" t="n">
        <v>-30.1166666666667</v>
      </c>
      <c r="D291" s="2" t="n">
        <v>5.75605033881897</v>
      </c>
      <c r="E291" s="3" t="n">
        <v>3.77533333333333</v>
      </c>
      <c r="F291" s="2" t="n">
        <v>-25.1666666666667</v>
      </c>
      <c r="G291" s="1" t="n">
        <v>36314</v>
      </c>
      <c r="H291" s="1" t="n">
        <v>4.44</v>
      </c>
      <c r="I291" s="12" t="n">
        <f aca="false">H291*3.6</f>
        <v>15.984</v>
      </c>
      <c r="J291" s="4" t="n">
        <f aca="false">LN(D291/1007.23)*(-8645.2)+105</f>
        <v>44754.9312967226</v>
      </c>
      <c r="K291" s="4" t="n">
        <f aca="false">45438.5*(1-(D291/1007.23)^0.1903)+105</f>
        <v>28538.3560829989</v>
      </c>
      <c r="L291" s="4" t="n">
        <f aca="false">105+29.271*(273.15+B291)*LN(1007.23/D291)</f>
        <v>39619.9286380943</v>
      </c>
      <c r="M291" s="3" t="n">
        <f aca="false">M290-0.016/40</f>
        <v>4.06040000000001</v>
      </c>
      <c r="N291" s="12" t="n">
        <f aca="false">E291*(-F291)</f>
        <v>95.0125555555556</v>
      </c>
    </row>
    <row r="292" customFormat="false" ht="12.8" hidden="false" customHeight="false" outlineLevel="0" collapsed="false">
      <c r="A292" s="14" t="n">
        <v>0.693055555555556</v>
      </c>
      <c r="B292" s="2" t="n">
        <v>-11.2833333333333</v>
      </c>
      <c r="C292" s="2" t="n">
        <v>-30.1</v>
      </c>
      <c r="D292" s="2" t="n">
        <v>5.64412713778638</v>
      </c>
      <c r="E292" s="3" t="n">
        <v>3.776</v>
      </c>
      <c r="F292" s="2" t="n">
        <v>-25.1666666666667</v>
      </c>
      <c r="G292" s="1" t="n">
        <v>36439</v>
      </c>
      <c r="H292" s="1" t="n">
        <v>4.23</v>
      </c>
      <c r="I292" s="12" t="n">
        <f aca="false">H292*3.6</f>
        <v>15.228</v>
      </c>
      <c r="J292" s="4" t="n">
        <f aca="false">LN(D292/1007.23)*(-8645.2)+105</f>
        <v>44924.6882236157</v>
      </c>
      <c r="K292" s="4" t="n">
        <f aca="false">45438.5*(1-(D292/1007.23)^0.1903)+105</f>
        <v>28601.7810708666</v>
      </c>
      <c r="L292" s="4" t="n">
        <f aca="false">105+29.271*(273.15+B292)*LN(1007.23/D292)</f>
        <v>39843.508808019</v>
      </c>
      <c r="M292" s="3" t="n">
        <f aca="false">M291-0.016/40</f>
        <v>4.06000000000001</v>
      </c>
      <c r="N292" s="12" t="n">
        <f aca="false">E292*(-F292)</f>
        <v>95.0293333333335</v>
      </c>
    </row>
    <row r="293" customFormat="false" ht="12.8" hidden="false" customHeight="false" outlineLevel="0" collapsed="false">
      <c r="A293" s="13" t="n">
        <v>0.693402777777778</v>
      </c>
      <c r="B293" s="2" t="n">
        <v>-10.75</v>
      </c>
      <c r="C293" s="2" t="n">
        <v>-30.0166666666667</v>
      </c>
      <c r="D293" s="2" t="n">
        <v>5.53220393675379</v>
      </c>
      <c r="E293" s="3" t="n">
        <v>3.776</v>
      </c>
      <c r="F293" s="2" t="n">
        <v>-25.3333333333333</v>
      </c>
      <c r="G293" s="1" t="n">
        <v>36569</v>
      </c>
      <c r="H293" s="1" t="n">
        <v>4.45</v>
      </c>
      <c r="I293" s="12" t="n">
        <f aca="false">H293*3.6</f>
        <v>16.02</v>
      </c>
      <c r="J293" s="4" t="n">
        <f aca="false">LN(D293/1007.23)*(-8645.2)+105</f>
        <v>45097.8453712864</v>
      </c>
      <c r="K293" s="4" t="n">
        <f aca="false">45438.5*(1-(D293/1007.23)^0.1903)+105</f>
        <v>28666.2327489978</v>
      </c>
      <c r="L293" s="4" t="n">
        <f aca="false">105+29.271*(273.15+B293)*LN(1007.23/D293)</f>
        <v>40078.2817481182</v>
      </c>
      <c r="M293" s="3" t="n">
        <f aca="false">M292-0.016/40</f>
        <v>4.05960000000001</v>
      </c>
      <c r="N293" s="12" t="n">
        <f aca="false">E293*(-F293)</f>
        <v>95.6586666666665</v>
      </c>
    </row>
    <row r="294" customFormat="false" ht="12.8" hidden="false" customHeight="false" outlineLevel="0" collapsed="false">
      <c r="A294" s="14" t="n">
        <v>0.69375</v>
      </c>
      <c r="B294" s="2" t="n">
        <v>-10.0833333333333</v>
      </c>
      <c r="C294" s="2" t="n">
        <v>-30</v>
      </c>
      <c r="D294" s="2" t="n">
        <v>5.43626976444014</v>
      </c>
      <c r="E294" s="3" t="n">
        <v>3.776</v>
      </c>
      <c r="F294" s="2" t="n">
        <v>-25.3333333333333</v>
      </c>
      <c r="G294" s="1" t="n">
        <v>36697</v>
      </c>
      <c r="H294" s="1" t="n">
        <v>4.35</v>
      </c>
      <c r="I294" s="12" t="n">
        <f aca="false">H294*3.6</f>
        <v>15.66</v>
      </c>
      <c r="J294" s="4" t="n">
        <f aca="false">LN(D294/1007.23)*(-8645.2)+105</f>
        <v>45249.0772160517</v>
      </c>
      <c r="K294" s="4" t="n">
        <f aca="false">45438.5*(1-(D294/1007.23)^0.1903)+105</f>
        <v>28722.3228793753</v>
      </c>
      <c r="L294" s="4" t="n">
        <f aca="false">105+29.271*(273.15+B294)*LN(1007.23/D294)</f>
        <v>40314.5411204513</v>
      </c>
      <c r="M294" s="3" t="n">
        <f aca="false">M293-0.016/40</f>
        <v>4.05920000000001</v>
      </c>
      <c r="N294" s="12" t="n">
        <f aca="false">E294*(-F294)</f>
        <v>95.6586666666665</v>
      </c>
    </row>
    <row r="295" customFormat="false" ht="12.8" hidden="false" customHeight="false" outlineLevel="0" collapsed="false">
      <c r="A295" s="13" t="n">
        <v>0.694097222222222</v>
      </c>
      <c r="B295" s="2" t="n">
        <v>-11.0166666666667</v>
      </c>
      <c r="C295" s="2" t="n">
        <v>-29.9</v>
      </c>
      <c r="D295" s="2" t="n">
        <v>5.34033559212649</v>
      </c>
      <c r="E295" s="3" t="n">
        <v>3.776</v>
      </c>
      <c r="F295" s="2" t="n">
        <v>-25</v>
      </c>
      <c r="G295" s="1" t="n">
        <v>36827</v>
      </c>
      <c r="H295" s="1" t="n">
        <v>4.38</v>
      </c>
      <c r="I295" s="12" t="n">
        <f aca="false">H295*3.6</f>
        <v>15.768</v>
      </c>
      <c r="J295" s="4" t="n">
        <f aca="false">LN(D295/1007.23)*(-8645.2)+105</f>
        <v>45403.0017569333</v>
      </c>
      <c r="K295" s="4" t="n">
        <f aca="false">45438.5*(1-(D295/1007.23)^0.1903)+105</f>
        <v>28779.220284362</v>
      </c>
      <c r="L295" s="4" t="n">
        <f aca="false">105+29.271*(273.15+B295)*LN(1007.23/D295)</f>
        <v>40308.495015868</v>
      </c>
      <c r="M295" s="3" t="n">
        <f aca="false">M294-0.016/40</f>
        <v>4.05880000000001</v>
      </c>
      <c r="N295" s="12" t="n">
        <f aca="false">E295*(-F295)</f>
        <v>94.4</v>
      </c>
    </row>
    <row r="296" customFormat="false" ht="12.8" hidden="false" customHeight="false" outlineLevel="0" collapsed="false">
      <c r="A296" s="14" t="n">
        <v>0.694444444444444</v>
      </c>
      <c r="B296" s="2" t="n">
        <v>-10.9666666666667</v>
      </c>
      <c r="C296" s="2" t="n">
        <v>-29.8666666666667</v>
      </c>
      <c r="D296" s="2" t="n">
        <v>5.29236850596967</v>
      </c>
      <c r="E296" s="3" t="n">
        <v>3.776</v>
      </c>
      <c r="F296" s="2" t="n">
        <v>-25.3333333333333</v>
      </c>
      <c r="G296" s="1" t="n">
        <v>36954</v>
      </c>
      <c r="H296" s="1" t="n">
        <v>4.26</v>
      </c>
      <c r="I296" s="12" t="n">
        <f aca="false">H296*3.6</f>
        <v>15.336</v>
      </c>
      <c r="J296" s="4" t="n">
        <f aca="false">LN(D296/1007.23)*(-8645.2)+105</f>
        <v>45481.0040906057</v>
      </c>
      <c r="K296" s="4" t="n">
        <f aca="false">45438.5*(1-(D296/1007.23)^0.1903)+105</f>
        <v>28807.9799245809</v>
      </c>
      <c r="L296" s="4" t="n">
        <f aca="false">105+29.271*(273.15+B296)*LN(1007.23/D296)</f>
        <v>40385.4064269669</v>
      </c>
      <c r="M296" s="3" t="n">
        <f aca="false">M295-0.016/40</f>
        <v>4.05840000000001</v>
      </c>
      <c r="N296" s="12" t="n">
        <f aca="false">E296*(-F296)</f>
        <v>95.6586666666665</v>
      </c>
    </row>
    <row r="297" customFormat="false" ht="12.8" hidden="false" customHeight="false" outlineLevel="0" collapsed="false">
      <c r="A297" s="13" t="n">
        <v>0.694791666666667</v>
      </c>
      <c r="B297" s="2" t="n">
        <v>-9.66666666666667</v>
      </c>
      <c r="C297" s="2" t="n">
        <v>-29.8</v>
      </c>
      <c r="D297" s="2" t="n">
        <v>5.19643433365602</v>
      </c>
      <c r="E297" s="3" t="n">
        <v>3.776</v>
      </c>
      <c r="F297" s="2" t="n">
        <v>-24.3333333333333</v>
      </c>
      <c r="G297" s="1" t="n">
        <v>37085</v>
      </c>
      <c r="H297" s="1" t="n">
        <v>4.36</v>
      </c>
      <c r="I297" s="12" t="n">
        <f aca="false">H297*3.6</f>
        <v>15.696</v>
      </c>
      <c r="J297" s="4" t="n">
        <f aca="false">LN(D297/1007.23)*(-8645.2)+105</f>
        <v>45639.1524031384</v>
      </c>
      <c r="K297" s="4" t="n">
        <f aca="false">45438.5*(1-(D297/1007.23)^0.1903)+105</f>
        <v>28866.1382383746</v>
      </c>
      <c r="L297" s="4" t="n">
        <f aca="false">105+29.271*(273.15+B297)*LN(1007.23/D297)</f>
        <v>40726.2160822435</v>
      </c>
      <c r="M297" s="3" t="n">
        <f aca="false">M296-0.016/40</f>
        <v>4.05800000000001</v>
      </c>
      <c r="N297" s="12" t="n">
        <f aca="false">E297*(-F297)</f>
        <v>91.8826666666665</v>
      </c>
    </row>
    <row r="298" customFormat="false" ht="12.8" hidden="false" customHeight="false" outlineLevel="0" collapsed="false">
      <c r="A298" s="14" t="n">
        <v>0.695138888888889</v>
      </c>
      <c r="B298" s="2" t="n">
        <v>-10.3</v>
      </c>
      <c r="C298" s="2" t="n">
        <v>-29.7166666666667</v>
      </c>
      <c r="D298" s="2" t="n">
        <v>5.10050016134237</v>
      </c>
      <c r="E298" s="3" t="n">
        <v>3.77733333333333</v>
      </c>
      <c r="F298" s="2" t="n">
        <v>-24.8333333333333</v>
      </c>
      <c r="G298" s="1" t="n">
        <v>37225</v>
      </c>
      <c r="H298" s="1" t="n">
        <v>4.3</v>
      </c>
      <c r="I298" s="12" t="n">
        <f aca="false">H298*3.6</f>
        <v>15.48</v>
      </c>
      <c r="J298" s="4" t="n">
        <f aca="false">LN(D298/1007.23)*(-8645.2)+105</f>
        <v>45800.2477476199</v>
      </c>
      <c r="K298" s="4" t="n">
        <f aca="false">45438.5*(1-(D298/1007.23)^0.1903)+105</f>
        <v>28925.1725212636</v>
      </c>
      <c r="L298" s="4" t="n">
        <f aca="false">105+29.271*(273.15+B298)*LN(1007.23/D298)</f>
        <v>40771.9435205999</v>
      </c>
      <c r="M298" s="3" t="n">
        <f aca="false">M297-0.016/40</f>
        <v>4.05760000000001</v>
      </c>
      <c r="N298" s="12" t="n">
        <f aca="false">E298*(-F298)</f>
        <v>93.8037777777776</v>
      </c>
    </row>
    <row r="299" customFormat="false" ht="12.8" hidden="false" customHeight="false" outlineLevel="0" collapsed="false">
      <c r="A299" s="13" t="n">
        <v>0.695486111111111</v>
      </c>
      <c r="B299" s="2" t="n">
        <v>-9.56666666666667</v>
      </c>
      <c r="C299" s="2" t="n">
        <v>-29.65</v>
      </c>
      <c r="D299" s="2" t="n">
        <v>5.0365440464666</v>
      </c>
      <c r="E299" s="3" t="n">
        <v>3.77866666666667</v>
      </c>
      <c r="F299" s="2" t="n">
        <v>-25.5</v>
      </c>
      <c r="G299" s="1" t="n">
        <v>37348</v>
      </c>
      <c r="H299" s="1" t="n">
        <v>4.09</v>
      </c>
      <c r="I299" s="12" t="n">
        <f aca="false">H299*3.6</f>
        <v>14.724</v>
      </c>
      <c r="J299" s="4" t="n">
        <f aca="false">LN(D299/1007.23)*(-8645.2)+105</f>
        <v>45909.3368922401</v>
      </c>
      <c r="K299" s="4" t="n">
        <f aca="false">45438.5*(1-(D299/1007.23)^0.1903)+105</f>
        <v>28965.0301321335</v>
      </c>
      <c r="L299" s="4" t="n">
        <f aca="false">105+29.271*(273.15+B299)*LN(1007.23/D299)</f>
        <v>40982.7573198754</v>
      </c>
      <c r="M299" s="3" t="n">
        <f aca="false">M298-0.016/40</f>
        <v>4.05720000000001</v>
      </c>
      <c r="N299" s="12" t="n">
        <f aca="false">E299*(-F299)</f>
        <v>96.3560000000001</v>
      </c>
    </row>
    <row r="300" customFormat="false" ht="12.8" hidden="false" customHeight="false" outlineLevel="0" collapsed="false">
      <c r="A300" s="14" t="n">
        <v>0.695833333333333</v>
      </c>
      <c r="B300" s="2" t="n">
        <v>-8.18333333333333</v>
      </c>
      <c r="C300" s="2" t="n">
        <v>-29.5833333333333</v>
      </c>
      <c r="D300" s="2" t="n">
        <v>4.95659890287189</v>
      </c>
      <c r="E300" s="3" t="n">
        <v>3.77866666666667</v>
      </c>
      <c r="F300" s="2" t="n">
        <v>-25</v>
      </c>
      <c r="G300" s="1" t="n">
        <v>37466</v>
      </c>
      <c r="H300" s="1" t="n">
        <v>3.95</v>
      </c>
      <c r="I300" s="12" t="n">
        <f aca="false">H300*3.6</f>
        <v>14.22</v>
      </c>
      <c r="J300" s="4" t="n">
        <f aca="false">LN(D300/1007.23)*(-8645.2)+105</f>
        <v>46047.6630432483</v>
      </c>
      <c r="K300" s="4" t="n">
        <f aca="false">45438.5*(1-(D300/1007.23)^0.1903)+105</f>
        <v>29015.4325608598</v>
      </c>
      <c r="L300" s="4" t="n">
        <f aca="false">105+29.271*(273.15+B300)*LN(1007.23/D300)</f>
        <v>41321.3873105866</v>
      </c>
      <c r="M300" s="3" t="n">
        <f aca="false">M299-0.016/40</f>
        <v>4.05680000000001</v>
      </c>
      <c r="N300" s="12" t="n">
        <f aca="false">E300*(-F300)</f>
        <v>94.4666666666668</v>
      </c>
    </row>
    <row r="301" customFormat="false" ht="12.8" hidden="false" customHeight="false" outlineLevel="0" collapsed="false">
      <c r="A301" s="13" t="n">
        <v>0.696180555555556</v>
      </c>
      <c r="B301" s="2" t="n">
        <v>-6.43333333333333</v>
      </c>
      <c r="C301" s="2" t="n">
        <v>-29.5</v>
      </c>
      <c r="D301" s="2" t="n">
        <v>4.89264278799613</v>
      </c>
      <c r="E301" s="3" t="n">
        <v>3.78</v>
      </c>
      <c r="F301" s="2" t="n">
        <v>-25.3333333333333</v>
      </c>
      <c r="G301" s="1" t="n">
        <v>37578</v>
      </c>
      <c r="H301" s="1" t="n">
        <v>3.25</v>
      </c>
      <c r="I301" s="12" t="n">
        <f aca="false">H301*3.6</f>
        <v>11.7</v>
      </c>
      <c r="J301" s="4" t="n">
        <f aca="false">LN(D301/1007.23)*(-8645.2)+105</f>
        <v>46159.9399460167</v>
      </c>
      <c r="K301" s="4" t="n">
        <f aca="false">45438.5*(1-(D301/1007.23)^0.1903)+105</f>
        <v>29056.2306368596</v>
      </c>
      <c r="L301" s="4" t="n">
        <f aca="false">105+29.271*(273.15+B301)*LN(1007.23/D301)</f>
        <v>41694.9971024367</v>
      </c>
      <c r="M301" s="3" t="n">
        <f aca="false">M300-0.016/40</f>
        <v>4.05640000000001</v>
      </c>
      <c r="N301" s="12" t="n">
        <f aca="false">E301*(-F301)</f>
        <v>95.7599999999999</v>
      </c>
    </row>
    <row r="302" customFormat="false" ht="12.8" hidden="false" customHeight="false" outlineLevel="0" collapsed="false">
      <c r="A302" s="14" t="n">
        <v>0.696527777777778</v>
      </c>
      <c r="B302" s="2" t="n">
        <v>-7.31666666666667</v>
      </c>
      <c r="C302" s="2" t="n">
        <v>-29.4166666666667</v>
      </c>
      <c r="D302" s="2" t="n">
        <v>4.79670861568248</v>
      </c>
      <c r="E302" s="3" t="n">
        <v>3.78</v>
      </c>
      <c r="F302" s="2" t="n">
        <v>-25.1666666666667</v>
      </c>
      <c r="G302" s="1" t="n">
        <v>37252</v>
      </c>
      <c r="H302" s="1" t="n">
        <v>-35.8</v>
      </c>
      <c r="I302" s="12" t="n">
        <f aca="false">H302*3.6</f>
        <v>-128.88</v>
      </c>
      <c r="J302" s="4"/>
      <c r="M302" s="3" t="n">
        <f aca="false">M301-0.016/40</f>
        <v>4.05600000000001</v>
      </c>
      <c r="N302" s="12" t="n">
        <f aca="false">E302*(-F302)</f>
        <v>95.1300000000001</v>
      </c>
    </row>
    <row r="303" customFormat="false" ht="12.8" hidden="false" customHeight="false" outlineLevel="0" collapsed="false">
      <c r="A303" s="13" t="n">
        <v>0.696875</v>
      </c>
      <c r="B303" s="2" t="n">
        <v>-8.65</v>
      </c>
      <c r="C303" s="2" t="n">
        <v>-29.35</v>
      </c>
      <c r="D303" s="2" t="n">
        <v>4.73275250080671</v>
      </c>
      <c r="E303" s="3" t="n">
        <v>3.78066666666667</v>
      </c>
      <c r="F303" s="2" t="n">
        <v>-25.3333333333333</v>
      </c>
      <c r="G303" s="1" t="n">
        <v>35766</v>
      </c>
      <c r="H303" s="1" t="n">
        <v>-50.1</v>
      </c>
      <c r="I303" s="12" t="n">
        <f aca="false">H303*3.6</f>
        <v>-180.36</v>
      </c>
      <c r="M303" s="3" t="n">
        <f aca="false">M302-0.016/40</f>
        <v>4.05560000000001</v>
      </c>
      <c r="N303" s="12" t="n">
        <f aca="false">E303*(-F303)</f>
        <v>95.7768888888889</v>
      </c>
    </row>
    <row r="304" customFormat="false" ht="12.8" hidden="false" customHeight="false" outlineLevel="0" collapsed="false">
      <c r="A304" s="14" t="n">
        <v>0.697222222222222</v>
      </c>
      <c r="B304" s="2" t="n">
        <v>-9.33333333333333</v>
      </c>
      <c r="C304" s="2" t="n">
        <v>-29.2666666666667</v>
      </c>
      <c r="D304" s="2" t="n">
        <v>4.66879638593095</v>
      </c>
      <c r="E304" s="3" t="n">
        <v>3.78066666666667</v>
      </c>
      <c r="F304" s="2" t="n">
        <v>-25</v>
      </c>
      <c r="G304" s="1" t="n">
        <v>34352</v>
      </c>
      <c r="H304" s="1" t="n">
        <v>-43.7</v>
      </c>
      <c r="I304" s="12" t="n">
        <f aca="false">H304*3.6</f>
        <v>-157.32</v>
      </c>
      <c r="M304" s="3" t="n">
        <f aca="false">M303-0.016/40</f>
        <v>4.05520000000001</v>
      </c>
      <c r="N304" s="12" t="n">
        <f aca="false">E304*(-F304)</f>
        <v>94.5166666666668</v>
      </c>
    </row>
    <row r="305" customFormat="false" ht="12.8" hidden="false" customHeight="false" outlineLevel="0" collapsed="false">
      <c r="A305" s="13" t="n">
        <v>0.697569444444445</v>
      </c>
      <c r="B305" s="2" t="n">
        <v>-9.4</v>
      </c>
      <c r="C305" s="2" t="n">
        <v>-29.2</v>
      </c>
      <c r="D305" s="2" t="n">
        <v>4.94060987415295</v>
      </c>
      <c r="E305" s="3" t="n">
        <v>3.78333333333333</v>
      </c>
      <c r="F305" s="2" t="n">
        <v>-25</v>
      </c>
      <c r="G305" s="1" t="n">
        <v>33197</v>
      </c>
      <c r="H305" s="1" t="n">
        <v>-37.6</v>
      </c>
      <c r="I305" s="12" t="n">
        <f aca="false">H305*3.6</f>
        <v>-135.36</v>
      </c>
      <c r="M305" s="3" t="n">
        <f aca="false">M304-0.016/40</f>
        <v>4.05480000000001</v>
      </c>
      <c r="N305" s="12" t="n">
        <f aca="false">E305*(-F305)</f>
        <v>94.5833333333333</v>
      </c>
    </row>
    <row r="306" customFormat="false" ht="12.8" hidden="false" customHeight="false" outlineLevel="0" collapsed="false">
      <c r="A306" s="14" t="n">
        <v>0.697916666666667</v>
      </c>
      <c r="B306" s="2" t="n">
        <v>-11.3666666666667</v>
      </c>
      <c r="C306" s="2" t="n">
        <v>-29.1166666666667</v>
      </c>
      <c r="D306" s="2" t="n">
        <v>5.96390771216521</v>
      </c>
      <c r="E306" s="3" t="n">
        <v>3.78333333333333</v>
      </c>
      <c r="F306" s="2" t="n">
        <v>-25.1666666666667</v>
      </c>
      <c r="G306" s="1" t="n">
        <v>32118</v>
      </c>
      <c r="H306" s="1" t="n">
        <v>-35.7</v>
      </c>
      <c r="I306" s="12" t="n">
        <f aca="false">H306*3.6</f>
        <v>-128.52</v>
      </c>
      <c r="M306" s="3" t="n">
        <f aca="false">M305-0.016/40</f>
        <v>4.05440000000001</v>
      </c>
      <c r="N306" s="12" t="n">
        <f aca="false">E306*(-F306)</f>
        <v>95.2138888888889</v>
      </c>
    </row>
    <row r="307" customFormat="false" ht="12.8" hidden="false" customHeight="false" outlineLevel="0" collapsed="false">
      <c r="A307" s="13" t="n">
        <v>0.698263888888889</v>
      </c>
      <c r="B307" s="2" t="n">
        <v>-12.8166666666667</v>
      </c>
      <c r="C307" s="2" t="n">
        <v>-29.0833333333333</v>
      </c>
      <c r="D307" s="2" t="n">
        <v>7.14709583736689</v>
      </c>
      <c r="E307" s="3" t="n">
        <v>3.78333333333333</v>
      </c>
      <c r="F307" s="2" t="n">
        <v>-25.1666666666667</v>
      </c>
      <c r="G307" s="1" t="n">
        <v>31073</v>
      </c>
      <c r="H307" s="1" t="n">
        <v>-34.1</v>
      </c>
      <c r="I307" s="12" t="n">
        <f aca="false">H307*3.6</f>
        <v>-122.76</v>
      </c>
      <c r="M307" s="3" t="n">
        <f aca="false">M306-0.016/40</f>
        <v>4.05400000000001</v>
      </c>
      <c r="N307" s="12" t="n">
        <f aca="false">E307*(-F307)</f>
        <v>95.2138888888889</v>
      </c>
    </row>
    <row r="308" customFormat="false" ht="12.8" hidden="false" customHeight="false" outlineLevel="0" collapsed="false">
      <c r="A308" s="14" t="n">
        <v>0.698611111111111</v>
      </c>
      <c r="B308" s="2" t="n">
        <v>-14.3166666666667</v>
      </c>
      <c r="C308" s="2" t="n">
        <v>-29</v>
      </c>
      <c r="D308" s="2" t="n">
        <v>8.33028396256857</v>
      </c>
      <c r="E308" s="3" t="n">
        <v>3.78333333333333</v>
      </c>
      <c r="F308" s="2" t="n">
        <v>-25.1666666666667</v>
      </c>
      <c r="G308" s="1" t="n">
        <v>30065</v>
      </c>
      <c r="H308" s="1" t="n">
        <v>-31.1</v>
      </c>
      <c r="I308" s="12" t="n">
        <f aca="false">H308*3.6</f>
        <v>-111.96</v>
      </c>
      <c r="M308" s="3" t="n">
        <f aca="false">M307-0.016/40</f>
        <v>4.05360000000001</v>
      </c>
      <c r="N308" s="12" t="n">
        <f aca="false">E308*(-F308)</f>
        <v>95.2138888888889</v>
      </c>
    </row>
    <row r="309" customFormat="false" ht="12.8" hidden="false" customHeight="false" outlineLevel="0" collapsed="false">
      <c r="A309" s="13" t="n">
        <v>0.698958333333333</v>
      </c>
      <c r="B309" s="2" t="n">
        <v>-15.45</v>
      </c>
      <c r="C309" s="2" t="n">
        <v>-28.9666666666667</v>
      </c>
      <c r="D309" s="2" t="n">
        <v>9.70534043239755</v>
      </c>
      <c r="E309" s="3" t="n">
        <v>3.784</v>
      </c>
      <c r="F309" s="2" t="n">
        <v>-25.3333333333333</v>
      </c>
      <c r="G309" s="1" t="n">
        <v>29183</v>
      </c>
      <c r="H309" s="1" t="n">
        <v>-28.7</v>
      </c>
      <c r="I309" s="12" t="n">
        <f aca="false">H309*3.6</f>
        <v>-103.32</v>
      </c>
      <c r="M309" s="3" t="n">
        <f aca="false">M308-0.016/40</f>
        <v>4.05320000000001</v>
      </c>
      <c r="N309" s="12" t="n">
        <f aca="false">E309*(-F309)</f>
        <v>95.8613333333332</v>
      </c>
    </row>
    <row r="310" customFormat="false" ht="12.8" hidden="false" customHeight="false" outlineLevel="0" collapsed="false">
      <c r="A310" s="13" t="n">
        <v>0.699305555555556</v>
      </c>
      <c r="B310" s="2" t="n">
        <v>-16.85</v>
      </c>
      <c r="C310" s="2" t="n">
        <v>-28.9</v>
      </c>
      <c r="D310" s="2" t="n">
        <v>11.2083091319781</v>
      </c>
      <c r="E310" s="3" t="n">
        <v>3.78533333333333</v>
      </c>
      <c r="F310" s="2" t="n">
        <v>-24.8333333333333</v>
      </c>
      <c r="G310" s="1" t="n">
        <v>28368</v>
      </c>
      <c r="H310" s="1" t="n">
        <v>-27.6</v>
      </c>
      <c r="I310" s="12" t="n">
        <f aca="false">H310*3.6</f>
        <v>-99.36</v>
      </c>
      <c r="M310" s="3" t="n">
        <f aca="false">M309-0.016/40</f>
        <v>4.05280000000001</v>
      </c>
      <c r="N310" s="12" t="n">
        <f aca="false">E310*(-F310)</f>
        <v>94.0024444444442</v>
      </c>
    </row>
    <row r="311" customFormat="false" ht="12.8" hidden="false" customHeight="false" outlineLevel="0" collapsed="false">
      <c r="A311" s="14" t="n">
        <v>0.699652777777778</v>
      </c>
      <c r="B311" s="2" t="n">
        <v>-18.0833333333333</v>
      </c>
      <c r="C311" s="2" t="n">
        <v>-28.9</v>
      </c>
      <c r="D311" s="2" t="n">
        <v>12.9031461761859</v>
      </c>
      <c r="E311" s="3" t="n">
        <v>3.786</v>
      </c>
      <c r="F311" s="2" t="n">
        <v>-24.8333333333333</v>
      </c>
      <c r="G311" s="1" t="n">
        <v>27583</v>
      </c>
      <c r="H311" s="1" t="n">
        <v>-25.8</v>
      </c>
      <c r="I311" s="12" t="n">
        <f aca="false">H311*3.6</f>
        <v>-92.88</v>
      </c>
      <c r="M311" s="3" t="n">
        <f aca="false">M310-0.016/40</f>
        <v>4.05240000000001</v>
      </c>
      <c r="N311" s="12" t="n">
        <f aca="false">E311*(-F311)</f>
        <v>94.0189999999999</v>
      </c>
    </row>
    <row r="312" customFormat="false" ht="12.8" hidden="false" customHeight="false" outlineLevel="0" collapsed="false">
      <c r="A312" s="13" t="n">
        <v>0.7</v>
      </c>
      <c r="B312" s="2" t="n">
        <v>-19.5833333333333</v>
      </c>
      <c r="C312" s="2" t="n">
        <v>-28.8666666666667</v>
      </c>
      <c r="D312" s="2" t="n">
        <v>14.6779283639884</v>
      </c>
      <c r="E312" s="3" t="n">
        <v>3.786</v>
      </c>
      <c r="F312" s="2" t="n">
        <v>-24.8333333333333</v>
      </c>
      <c r="G312" s="1" t="n">
        <v>26866</v>
      </c>
      <c r="H312" s="1" t="n">
        <v>-24</v>
      </c>
      <c r="I312" s="12" t="n">
        <f aca="false">H312*3.6</f>
        <v>-86.4</v>
      </c>
      <c r="M312" s="3" t="n">
        <f aca="false">M311-0.016/40</f>
        <v>4.05200000000001</v>
      </c>
      <c r="N312" s="12" t="n">
        <f aca="false">E312*(-F312)</f>
        <v>94.0189999999999</v>
      </c>
    </row>
    <row r="313" customFormat="false" ht="12.8" hidden="false" customHeight="false" outlineLevel="0" collapsed="false">
      <c r="A313" s="14" t="n">
        <v>0.700347222222222</v>
      </c>
      <c r="B313" s="2" t="n">
        <v>-20.9</v>
      </c>
      <c r="C313" s="2" t="n">
        <v>-28.8</v>
      </c>
      <c r="D313" s="2" t="n">
        <v>16.5486447241046</v>
      </c>
      <c r="E313" s="3" t="n">
        <v>3.78733333333333</v>
      </c>
      <c r="F313" s="2" t="n">
        <v>-25.5</v>
      </c>
      <c r="G313" s="1" t="n">
        <v>26186</v>
      </c>
      <c r="H313" s="1" t="n">
        <v>-22.5</v>
      </c>
      <c r="I313" s="12" t="n">
        <f aca="false">H313*3.6</f>
        <v>-81</v>
      </c>
      <c r="M313" s="3" t="n">
        <f aca="false">M312-0.016/40</f>
        <v>4.05160000000001</v>
      </c>
      <c r="N313" s="12" t="n">
        <f aca="false">E313*(-F313)</f>
        <v>96.5769999999999</v>
      </c>
    </row>
    <row r="314" customFormat="false" ht="12.8" hidden="false" customHeight="false" outlineLevel="0" collapsed="false">
      <c r="A314" s="13" t="n">
        <v>0.700694444444445</v>
      </c>
      <c r="B314" s="2" t="n">
        <v>-21.9833333333333</v>
      </c>
      <c r="C314" s="2" t="n">
        <v>-28.8</v>
      </c>
      <c r="D314" s="2" t="n">
        <v>18.5472733139722</v>
      </c>
      <c r="E314" s="3" t="n">
        <v>3.786</v>
      </c>
      <c r="F314" s="2" t="n">
        <v>-25.3333333333333</v>
      </c>
      <c r="G314" s="1" t="n">
        <v>25518</v>
      </c>
      <c r="H314" s="1" t="n">
        <v>-21.2</v>
      </c>
      <c r="I314" s="12" t="n">
        <f aca="false">H314*3.6</f>
        <v>-76.32</v>
      </c>
      <c r="M314" s="3" t="n">
        <f aca="false">M313-0.016/40</f>
        <v>4.05120000000001</v>
      </c>
      <c r="N314" s="12" t="n">
        <f aca="false">E314*(-F314)</f>
        <v>95.9119999999999</v>
      </c>
    </row>
    <row r="315" customFormat="false" ht="12.8" hidden="false" customHeight="false" outlineLevel="0" collapsed="false">
      <c r="A315" s="14" t="n">
        <v>0.701041666666667</v>
      </c>
      <c r="B315" s="2" t="n">
        <v>-22.8833333333333</v>
      </c>
      <c r="C315" s="2" t="n">
        <v>-28.8166666666667</v>
      </c>
      <c r="D315" s="2" t="n">
        <v>20.6898031623104</v>
      </c>
      <c r="E315" s="3" t="n">
        <v>3.784</v>
      </c>
      <c r="F315" s="2" t="n">
        <v>-25.5</v>
      </c>
      <c r="G315" s="1" t="n">
        <v>24870</v>
      </c>
      <c r="H315" s="1" t="n">
        <v>-20.4</v>
      </c>
      <c r="I315" s="12" t="n">
        <f aca="false">H315*3.6</f>
        <v>-73.44</v>
      </c>
      <c r="M315" s="3" t="n">
        <f aca="false">M314-0.016/40</f>
        <v>4.05080000000001</v>
      </c>
      <c r="N315" s="12" t="n">
        <f aca="false">E315*(-F315)</f>
        <v>96.492</v>
      </c>
    </row>
    <row r="316" customFormat="false" ht="12.8" hidden="false" customHeight="false" outlineLevel="0" collapsed="false">
      <c r="A316" s="13" t="n">
        <v>0.701388888888889</v>
      </c>
      <c r="B316" s="2" t="n">
        <v>-24.45</v>
      </c>
      <c r="C316" s="2" t="n">
        <v>-28.9</v>
      </c>
      <c r="D316" s="2" t="n">
        <v>22.9282671829622</v>
      </c>
      <c r="E316" s="3" t="n">
        <v>3.784</v>
      </c>
      <c r="F316" s="2" t="n">
        <v>-25.5</v>
      </c>
      <c r="G316" s="1" t="n">
        <v>24256</v>
      </c>
      <c r="H316" s="1" t="n">
        <v>-19.2</v>
      </c>
      <c r="I316" s="12" t="n">
        <f aca="false">H316*3.6</f>
        <v>-69.12</v>
      </c>
      <c r="M316" s="3" t="n">
        <f aca="false">M315-0.016/40</f>
        <v>4.05040000000001</v>
      </c>
      <c r="N316" s="12" t="n">
        <f aca="false">E316*(-F316)</f>
        <v>96.492</v>
      </c>
    </row>
    <row r="317" customFormat="false" ht="12.8" hidden="false" customHeight="false" outlineLevel="0" collapsed="false">
      <c r="A317" s="14" t="n">
        <v>0.701736111111111</v>
      </c>
      <c r="B317" s="2" t="n">
        <v>-26.2</v>
      </c>
      <c r="C317" s="2" t="n">
        <v>-28.9</v>
      </c>
      <c r="D317" s="2" t="n">
        <v>25.2946434333656</v>
      </c>
      <c r="E317" s="3" t="n">
        <v>3.784</v>
      </c>
      <c r="F317" s="2" t="n">
        <v>-25.3333333333333</v>
      </c>
      <c r="G317" s="1" t="n">
        <v>23695</v>
      </c>
      <c r="H317" s="1" t="n">
        <v>-18.6</v>
      </c>
      <c r="I317" s="12" t="n">
        <f aca="false">H317*3.6</f>
        <v>-66.96</v>
      </c>
      <c r="M317" s="3" t="n">
        <f aca="false">M316-0.016/40</f>
        <v>4.05000000000001</v>
      </c>
      <c r="N317" s="12" t="n">
        <f aca="false">E317*(-F317)</f>
        <v>95.8613333333332</v>
      </c>
    </row>
    <row r="318" customFormat="false" ht="12.8" hidden="false" customHeight="false" outlineLevel="0" collapsed="false">
      <c r="A318" s="13" t="n">
        <v>0.702083333333333</v>
      </c>
      <c r="B318" s="2" t="n">
        <v>-27.8</v>
      </c>
      <c r="C318" s="2" t="n">
        <v>-28.9</v>
      </c>
      <c r="D318" s="2" t="n">
        <v>27.7729428848015</v>
      </c>
      <c r="E318" s="3" t="n">
        <v>3.78333333333333</v>
      </c>
      <c r="F318" s="2" t="n">
        <v>-25.3333333333333</v>
      </c>
      <c r="G318" s="1" t="n">
        <v>23173</v>
      </c>
      <c r="H318" s="1" t="n">
        <v>-17.6</v>
      </c>
      <c r="I318" s="12" t="n">
        <f aca="false">H318*3.6</f>
        <v>-63.36</v>
      </c>
      <c r="M318" s="3" t="n">
        <f aca="false">M317-0.016/40</f>
        <v>4.04960000000001</v>
      </c>
      <c r="N318" s="12" t="n">
        <f aca="false">E318*(-F318)</f>
        <v>95.8444444444442</v>
      </c>
    </row>
    <row r="319" customFormat="false" ht="12.8" hidden="false" customHeight="false" outlineLevel="0" collapsed="false">
      <c r="A319" s="14" t="n">
        <v>0.702430555555556</v>
      </c>
      <c r="B319" s="2" t="n">
        <v>-29.4666666666667</v>
      </c>
      <c r="C319" s="2" t="n">
        <v>-29</v>
      </c>
      <c r="D319" s="2" t="n">
        <v>30.3631655372701</v>
      </c>
      <c r="E319" s="3" t="n">
        <v>3.78333333333333</v>
      </c>
      <c r="F319" s="2" t="n">
        <v>-25.5</v>
      </c>
      <c r="G319" s="1" t="n">
        <v>22662</v>
      </c>
      <c r="H319" s="1" t="n">
        <v>-16.8</v>
      </c>
      <c r="I319" s="12" t="n">
        <f aca="false">H319*3.6</f>
        <v>-60.48</v>
      </c>
      <c r="M319" s="3" t="n">
        <f aca="false">M318-0.016/40</f>
        <v>4.04920000000001</v>
      </c>
      <c r="N319" s="12" t="n">
        <f aca="false">E319*(-F319)</f>
        <v>96.4749999999999</v>
      </c>
    </row>
    <row r="320" customFormat="false" ht="12.8" hidden="false" customHeight="false" outlineLevel="0" collapsed="false">
      <c r="A320" s="13" t="n">
        <v>0.702777777777778</v>
      </c>
      <c r="B320" s="2" t="n">
        <v>-30.95</v>
      </c>
      <c r="C320" s="2" t="n">
        <v>-29</v>
      </c>
      <c r="D320" s="2" t="n">
        <v>33.0333333333333</v>
      </c>
      <c r="E320" s="3" t="n">
        <v>3.78066666666667</v>
      </c>
      <c r="F320" s="2" t="n">
        <v>-25</v>
      </c>
      <c r="G320" s="1" t="n">
        <v>22182</v>
      </c>
      <c r="H320" s="1" t="n">
        <v>-15.8</v>
      </c>
      <c r="I320" s="12" t="n">
        <f aca="false">H320*3.6</f>
        <v>-56.88</v>
      </c>
      <c r="M320" s="3" t="n">
        <f aca="false">M319-0.016/40</f>
        <v>4.04880000000001</v>
      </c>
      <c r="N320" s="12" t="n">
        <f aca="false">E320*(-F320)</f>
        <v>94.5166666666668</v>
      </c>
    </row>
    <row r="321" customFormat="false" ht="12.8" hidden="false" customHeight="false" outlineLevel="0" collapsed="false">
      <c r="A321" s="14" t="n">
        <v>0.703125</v>
      </c>
      <c r="B321" s="2" t="n">
        <v>-31.7166666666667</v>
      </c>
      <c r="C321" s="2" t="n">
        <v>-29.1</v>
      </c>
      <c r="D321" s="2" t="n">
        <v>35.8314133591481</v>
      </c>
      <c r="E321" s="3" t="n">
        <v>3.78133333333333</v>
      </c>
      <c r="F321" s="2" t="n">
        <v>-24.8333333333333</v>
      </c>
      <c r="G321" s="1" t="n">
        <v>21723</v>
      </c>
      <c r="H321" s="1" t="n">
        <v>-15.6</v>
      </c>
      <c r="I321" s="12" t="n">
        <f aca="false">H321*3.6</f>
        <v>-56.16</v>
      </c>
      <c r="M321" s="3" t="n">
        <f aca="false">M320-0.016/40</f>
        <v>4.04840000000001</v>
      </c>
      <c r="N321" s="12" t="n">
        <f aca="false">E321*(-F321)</f>
        <v>93.9031111111109</v>
      </c>
    </row>
    <row r="322" customFormat="false" ht="12.8" hidden="false" customHeight="false" outlineLevel="0" collapsed="false">
      <c r="A322" s="13" t="n">
        <v>0.703472222222222</v>
      </c>
      <c r="B322" s="2" t="n">
        <v>-31.8333333333333</v>
      </c>
      <c r="C322" s="2" t="n">
        <v>-29.15</v>
      </c>
      <c r="D322" s="2" t="n">
        <v>38.7094385285576</v>
      </c>
      <c r="E322" s="3" t="n">
        <v>3.78</v>
      </c>
      <c r="F322" s="2" t="n">
        <v>-25</v>
      </c>
      <c r="G322" s="1" t="n">
        <v>21237</v>
      </c>
      <c r="H322" s="1" t="n">
        <v>-14.9</v>
      </c>
      <c r="I322" s="12" t="n">
        <f aca="false">H322*3.6</f>
        <v>-53.64</v>
      </c>
      <c r="M322" s="3" t="n">
        <f aca="false">M321-0.016/40</f>
        <v>4.04800000000001</v>
      </c>
      <c r="N322" s="12" t="n">
        <f aca="false">E322*(-F322)</f>
        <v>94.5</v>
      </c>
    </row>
    <row r="323" customFormat="false" ht="12.8" hidden="false" customHeight="false" outlineLevel="0" collapsed="false">
      <c r="A323" s="14" t="n">
        <v>0.703819444444444</v>
      </c>
      <c r="B323" s="2" t="n">
        <v>-32.1166666666667</v>
      </c>
      <c r="C323" s="2" t="n">
        <v>-29.2333333333333</v>
      </c>
      <c r="D323" s="2" t="n">
        <v>41.7153759277186</v>
      </c>
      <c r="E323" s="3" t="n">
        <v>3.77733333333333</v>
      </c>
      <c r="F323" s="2" t="n">
        <v>-24.5</v>
      </c>
      <c r="G323" s="1" t="n">
        <v>20779</v>
      </c>
      <c r="H323" s="1" t="n">
        <v>-14.5</v>
      </c>
      <c r="I323" s="12" t="n">
        <f aca="false">H323*3.6</f>
        <v>-52.2</v>
      </c>
      <c r="M323" s="3" t="n">
        <f aca="false">M322-0.016/40</f>
        <v>4.04760000000001</v>
      </c>
      <c r="N323" s="12" t="n">
        <f aca="false">E323*(-F323)</f>
        <v>92.5446666666666</v>
      </c>
    </row>
    <row r="324" customFormat="false" ht="12.8" hidden="false" customHeight="false" outlineLevel="0" collapsed="false">
      <c r="A324" s="13" t="n">
        <v>0.704166666666667</v>
      </c>
      <c r="B324" s="2" t="n">
        <v>-32.6166666666667</v>
      </c>
      <c r="C324" s="2" t="n">
        <v>-29.3166666666667</v>
      </c>
      <c r="D324" s="2" t="n">
        <v>44.897192642788</v>
      </c>
      <c r="E324" s="3" t="n">
        <v>3.776</v>
      </c>
      <c r="F324" s="2" t="n">
        <v>-25</v>
      </c>
      <c r="G324" s="1" t="n">
        <v>20363</v>
      </c>
      <c r="H324" s="1" t="n">
        <v>-13.7</v>
      </c>
      <c r="I324" s="12" t="n">
        <f aca="false">H324*3.6</f>
        <v>-49.32</v>
      </c>
      <c r="M324" s="3" t="n">
        <f aca="false">M323-0.016/40</f>
        <v>4.04720000000001</v>
      </c>
      <c r="N324" s="12" t="n">
        <f aca="false">E324*(-F324)</f>
        <v>94.4</v>
      </c>
    </row>
    <row r="325" customFormat="false" ht="12.8" hidden="false" customHeight="false" outlineLevel="0" collapsed="false">
      <c r="A325" s="14" t="n">
        <v>0.704513888888889</v>
      </c>
      <c r="B325" s="2" t="n">
        <v>-33.2833333333333</v>
      </c>
      <c r="C325" s="2" t="n">
        <v>-29.4166666666667</v>
      </c>
      <c r="D325" s="2" t="n">
        <v>48.1429654727331</v>
      </c>
      <c r="E325" s="3" t="n">
        <v>3.774</v>
      </c>
      <c r="F325" s="2" t="n">
        <v>-25.1666666666667</v>
      </c>
      <c r="G325" s="1" t="n">
        <v>19950</v>
      </c>
      <c r="H325" s="1" t="n">
        <v>-13.5</v>
      </c>
      <c r="I325" s="12" t="n">
        <f aca="false">H325*3.6</f>
        <v>-48.6</v>
      </c>
      <c r="M325" s="3" t="n">
        <f aca="false">M324-0.016/40</f>
        <v>4.04680000000001</v>
      </c>
      <c r="N325" s="12" t="n">
        <f aca="false">E325*(-F325)</f>
        <v>94.9790000000001</v>
      </c>
    </row>
    <row r="326" customFormat="false" ht="12.8" hidden="false" customHeight="false" outlineLevel="0" collapsed="false">
      <c r="A326" s="13" t="n">
        <v>0.704861111111111</v>
      </c>
      <c r="B326" s="2" t="n">
        <v>-34.0333333333333</v>
      </c>
      <c r="C326" s="2" t="n">
        <v>-29.5166666666667</v>
      </c>
      <c r="D326" s="2" t="n">
        <v>51.5965956760245</v>
      </c>
      <c r="E326" s="3" t="n">
        <v>3.77266666666667</v>
      </c>
      <c r="F326" s="2" t="n">
        <v>-25.3333333333333</v>
      </c>
      <c r="G326" s="1" t="n">
        <v>19545</v>
      </c>
      <c r="H326" s="1" t="n">
        <v>-12.9</v>
      </c>
      <c r="I326" s="12" t="n">
        <f aca="false">H326*3.6</f>
        <v>-46.44</v>
      </c>
      <c r="M326" s="3" t="n">
        <f aca="false">M325-0.016/40</f>
        <v>4.04640000000001</v>
      </c>
      <c r="N326" s="12" t="n">
        <f aca="false">E326*(-F326)</f>
        <v>95.5742222222222</v>
      </c>
    </row>
    <row r="327" customFormat="false" ht="12.8" hidden="false" customHeight="false" outlineLevel="0" collapsed="false">
      <c r="A327" s="14" t="n">
        <v>0.705208333333333</v>
      </c>
      <c r="B327" s="2" t="n">
        <v>-34.5333333333333</v>
      </c>
      <c r="C327" s="2" t="n">
        <v>-29.6333333333333</v>
      </c>
      <c r="D327" s="2" t="n">
        <v>55.0981929654727</v>
      </c>
      <c r="E327" s="3" t="n">
        <v>3.772</v>
      </c>
      <c r="F327" s="2" t="n">
        <v>-25.5</v>
      </c>
      <c r="G327" s="1" t="n">
        <v>19150</v>
      </c>
      <c r="H327" s="1" t="n">
        <v>-12.7</v>
      </c>
      <c r="I327" s="12" t="n">
        <f aca="false">H327*3.6</f>
        <v>-45.72</v>
      </c>
      <c r="M327" s="3" t="n">
        <f aca="false">M326-0.016/40</f>
        <v>4.04600000000001</v>
      </c>
      <c r="N327" s="12" t="n">
        <f aca="false">E327*(-F327)</f>
        <v>96.186</v>
      </c>
    </row>
    <row r="328" customFormat="false" ht="12.8" hidden="false" customHeight="false" outlineLevel="0" collapsed="false">
      <c r="A328" s="13" t="n">
        <v>0.705555555555556</v>
      </c>
      <c r="B328" s="2" t="n">
        <v>-34.9166666666667</v>
      </c>
      <c r="C328" s="2" t="n">
        <v>-29.75</v>
      </c>
      <c r="D328" s="2" t="n">
        <v>58.7436915133914</v>
      </c>
      <c r="E328" s="3" t="n">
        <v>3.76866666666667</v>
      </c>
      <c r="F328" s="2" t="n">
        <v>-25.1666666666667</v>
      </c>
      <c r="G328" s="1" t="n">
        <v>18789</v>
      </c>
      <c r="H328" s="1" t="n">
        <v>-11.5</v>
      </c>
      <c r="I328" s="12" t="n">
        <f aca="false">H328*3.6</f>
        <v>-41.4</v>
      </c>
      <c r="M328" s="3" t="n">
        <f aca="false">M327-0.016/40</f>
        <v>4.04560000000001</v>
      </c>
      <c r="N328" s="12" t="n">
        <f aca="false">E328*(-F328)</f>
        <v>94.844777777778</v>
      </c>
    </row>
    <row r="329" customFormat="false" ht="12.8" hidden="false" customHeight="false" outlineLevel="0" collapsed="false">
      <c r="A329" s="14" t="n">
        <v>0.705902777777778</v>
      </c>
      <c r="B329" s="2" t="n">
        <v>-35.5166666666667</v>
      </c>
      <c r="C329" s="2" t="n">
        <v>-29.8666666666667</v>
      </c>
      <c r="D329" s="2" t="n">
        <v>62.4851242336237</v>
      </c>
      <c r="E329" s="3" t="n">
        <v>3.768</v>
      </c>
      <c r="F329" s="2" t="n">
        <v>-25</v>
      </c>
      <c r="G329" s="1" t="n">
        <v>18450</v>
      </c>
      <c r="H329" s="1" t="n">
        <v>-10.8</v>
      </c>
      <c r="I329" s="12" t="n">
        <f aca="false">H329*3.6</f>
        <v>-38.88</v>
      </c>
      <c r="M329" s="3" t="n">
        <f aca="false">M328-0.016/40</f>
        <v>4.04520000000002</v>
      </c>
      <c r="N329" s="12" t="n">
        <f aca="false">E329*(-F329)</f>
        <v>94.2</v>
      </c>
    </row>
    <row r="330" customFormat="false" ht="12.8" hidden="false" customHeight="false" outlineLevel="0" collapsed="false">
      <c r="A330" s="13" t="n">
        <v>0.70625</v>
      </c>
      <c r="B330" s="2" t="n">
        <v>-35.8166666666667</v>
      </c>
      <c r="C330" s="2" t="n">
        <v>-30</v>
      </c>
      <c r="D330" s="2" t="n">
        <v>66.2745240400129</v>
      </c>
      <c r="E330" s="3" t="n">
        <v>3.76533333333333</v>
      </c>
      <c r="F330" s="2" t="n">
        <v>-24.6666666666667</v>
      </c>
      <c r="G330" s="1" t="n">
        <v>18116</v>
      </c>
      <c r="H330" s="1" t="n">
        <v>-10.9</v>
      </c>
      <c r="I330" s="12" t="n">
        <f aca="false">H330*3.6</f>
        <v>-39.24</v>
      </c>
      <c r="M330" s="3" t="n">
        <f aca="false">M329-0.016/40</f>
        <v>4.04480000000002</v>
      </c>
      <c r="N330" s="12" t="n">
        <f aca="false">E330*(-F330)</f>
        <v>92.8782222222223</v>
      </c>
    </row>
    <row r="331" customFormat="false" ht="12.8" hidden="false" customHeight="false" outlineLevel="0" collapsed="false">
      <c r="A331" s="14" t="n">
        <v>0.706597222222222</v>
      </c>
      <c r="B331" s="2" t="n">
        <v>-36.05</v>
      </c>
      <c r="C331" s="2" t="n">
        <v>-30.1333333333333</v>
      </c>
      <c r="D331" s="2" t="n">
        <v>70.2078251048725</v>
      </c>
      <c r="E331" s="3" t="n">
        <v>3.76333333333333</v>
      </c>
      <c r="F331" s="2" t="n">
        <v>-25.1666666666667</v>
      </c>
      <c r="G331" s="1" t="n">
        <v>17813</v>
      </c>
      <c r="H331" s="1" t="n">
        <v>-10.3</v>
      </c>
      <c r="I331" s="12" t="n">
        <f aca="false">H331*3.6</f>
        <v>-37.08</v>
      </c>
      <c r="M331" s="3" t="n">
        <f aca="false">M330-0.016/40</f>
        <v>4.04440000000002</v>
      </c>
      <c r="N331" s="12" t="n">
        <f aca="false">E331*(-F331)</f>
        <v>94.7105555555556</v>
      </c>
    </row>
    <row r="332" customFormat="false" ht="12.8" hidden="false" customHeight="false" outlineLevel="0" collapsed="false">
      <c r="A332" s="13" t="n">
        <v>0.706944444444445</v>
      </c>
      <c r="B332" s="2" t="n">
        <v>-36.65</v>
      </c>
      <c r="C332" s="2" t="n">
        <v>-30.2833333333333</v>
      </c>
      <c r="D332" s="2" t="n">
        <v>74.0611810261375</v>
      </c>
      <c r="E332" s="3" t="n">
        <v>3.76133333333333</v>
      </c>
      <c r="F332" s="2" t="n">
        <v>-25</v>
      </c>
      <c r="G332" s="1" t="n">
        <v>17496</v>
      </c>
      <c r="H332" s="1" t="n">
        <v>-10.2</v>
      </c>
      <c r="I332" s="12" t="n">
        <f aca="false">H332*3.6</f>
        <v>-36.72</v>
      </c>
      <c r="M332" s="3" t="n">
        <f aca="false">M331-0.016/40</f>
        <v>4.04400000000002</v>
      </c>
      <c r="N332" s="12" t="n">
        <f aca="false">E332*(-F332)</f>
        <v>94.0333333333333</v>
      </c>
    </row>
    <row r="333" customFormat="false" ht="12.8" hidden="false" customHeight="false" outlineLevel="0" collapsed="false">
      <c r="A333" s="14" t="n">
        <v>0.707291666666667</v>
      </c>
      <c r="B333" s="2" t="n">
        <v>-37.6333333333333</v>
      </c>
      <c r="C333" s="2" t="n">
        <v>-30.4333333333333</v>
      </c>
      <c r="D333" s="2" t="n">
        <v>78.0424491771539</v>
      </c>
      <c r="E333" s="3" t="n">
        <v>3.75933333333333</v>
      </c>
      <c r="F333" s="2" t="n">
        <v>-25.8333333333333</v>
      </c>
      <c r="G333" s="1" t="n">
        <v>17186</v>
      </c>
      <c r="H333" s="1" t="n">
        <v>-9.6</v>
      </c>
      <c r="I333" s="12" t="n">
        <f aca="false">H333*3.6</f>
        <v>-34.56</v>
      </c>
      <c r="M333" s="3" t="n">
        <f aca="false">M332-0.016/40</f>
        <v>4.04360000000002</v>
      </c>
      <c r="N333" s="12" t="n">
        <f aca="false">E333*(-F333)</f>
        <v>97.1161111111109</v>
      </c>
    </row>
    <row r="334" customFormat="false" ht="12.8" hidden="false" customHeight="false" outlineLevel="0" collapsed="false">
      <c r="A334" s="13" t="n">
        <v>0.707638888888889</v>
      </c>
      <c r="B334" s="2" t="n">
        <v>-38.2</v>
      </c>
      <c r="C334" s="2" t="n">
        <v>-30.5666666666667</v>
      </c>
      <c r="D334" s="2" t="n">
        <v>81.8798160696999</v>
      </c>
      <c r="E334" s="3" t="n">
        <v>3.756</v>
      </c>
      <c r="F334" s="2" t="n">
        <v>-24.8333333333333</v>
      </c>
      <c r="G334" s="1" t="n">
        <v>16934</v>
      </c>
      <c r="H334" s="1" t="n">
        <v>-8.45</v>
      </c>
      <c r="I334" s="12" t="n">
        <f aca="false">H334*3.6</f>
        <v>-30.42</v>
      </c>
      <c r="M334" s="3" t="n">
        <f aca="false">M333-0.016/40</f>
        <v>4.04320000000002</v>
      </c>
      <c r="N334" s="12" t="n">
        <f aca="false">E334*(-F334)</f>
        <v>93.2739999999999</v>
      </c>
    </row>
    <row r="335" customFormat="false" ht="12.8" hidden="false" customHeight="false" outlineLevel="0" collapsed="false">
      <c r="A335" s="14" t="n">
        <v>0.707986111111111</v>
      </c>
      <c r="B335" s="2" t="n">
        <v>-38.2333333333333</v>
      </c>
      <c r="C335" s="2" t="n">
        <v>-30.7333333333333</v>
      </c>
      <c r="D335" s="2" t="n">
        <v>85.8131171345595</v>
      </c>
      <c r="E335" s="3" t="n">
        <v>3.754</v>
      </c>
      <c r="F335" s="2" t="n">
        <v>-25</v>
      </c>
      <c r="G335" s="1" t="n">
        <v>16684</v>
      </c>
      <c r="H335" s="1" t="n">
        <v>-8.17</v>
      </c>
      <c r="I335" s="12" t="n">
        <f aca="false">H335*3.6</f>
        <v>-29.412</v>
      </c>
      <c r="M335" s="3" t="n">
        <f aca="false">M334-0.016/40</f>
        <v>4.04280000000002</v>
      </c>
      <c r="N335" s="12" t="n">
        <f aca="false">E335*(-F335)</f>
        <v>93.85</v>
      </c>
    </row>
    <row r="336" customFormat="false" ht="12.8" hidden="false" customHeight="false" outlineLevel="0" collapsed="false">
      <c r="A336" s="13" t="n">
        <v>0.708333333333333</v>
      </c>
      <c r="B336" s="2" t="n">
        <v>-38.3333333333333</v>
      </c>
      <c r="C336" s="2" t="n">
        <v>-30.9</v>
      </c>
      <c r="D336" s="2" t="n">
        <v>89.8743304291707</v>
      </c>
      <c r="E336" s="3" t="n">
        <v>3.752</v>
      </c>
      <c r="F336" s="2" t="n">
        <v>-25.3333333333333</v>
      </c>
      <c r="G336" s="1" t="n">
        <v>16453</v>
      </c>
      <c r="H336" s="1" t="n">
        <v>-8.19</v>
      </c>
      <c r="I336" s="12" t="n">
        <f aca="false">H336*3.6</f>
        <v>-29.484</v>
      </c>
      <c r="M336" s="3" t="n">
        <f aca="false">M335-0.016/40</f>
        <v>4.04240000000002</v>
      </c>
      <c r="N336" s="12" t="n">
        <f aca="false">E336*(-F336)</f>
        <v>95.0506666666665</v>
      </c>
    </row>
    <row r="337" customFormat="false" ht="12.8" hidden="false" customHeight="false" outlineLevel="0" collapsed="false">
      <c r="A337" s="14" t="n">
        <v>0.708680555555556</v>
      </c>
      <c r="B337" s="2" t="n">
        <v>-38.5833333333333</v>
      </c>
      <c r="C337" s="2" t="n">
        <v>-31.05</v>
      </c>
      <c r="D337" s="2" t="n">
        <v>93.5837850919652</v>
      </c>
      <c r="E337" s="3" t="n">
        <v>3.74933333333333</v>
      </c>
      <c r="F337" s="2" t="n">
        <v>-25.6666666666667</v>
      </c>
      <c r="G337" s="1" t="n">
        <v>16195</v>
      </c>
      <c r="H337" s="1" t="n">
        <v>-9.29</v>
      </c>
      <c r="I337" s="12" t="n">
        <f aca="false">H337*3.6</f>
        <v>-33.444</v>
      </c>
      <c r="M337" s="3" t="n">
        <f aca="false">M336-0.016/40</f>
        <v>4.04200000000002</v>
      </c>
      <c r="N337" s="12" t="n">
        <f aca="false">E337*(-F337)</f>
        <v>96.2328888888889</v>
      </c>
    </row>
    <row r="338" customFormat="false" ht="12.8" hidden="false" customHeight="false" outlineLevel="0" collapsed="false">
      <c r="A338" s="13" t="n">
        <v>0.709027777777778</v>
      </c>
      <c r="B338" s="2" t="n">
        <v>-38.8833333333333</v>
      </c>
      <c r="C338" s="2" t="n">
        <v>-31.2</v>
      </c>
      <c r="D338" s="2" t="n">
        <v>97.3731848983543</v>
      </c>
      <c r="E338" s="3" t="n">
        <v>3.74666666666667</v>
      </c>
      <c r="F338" s="2" t="n">
        <v>-24</v>
      </c>
      <c r="G338" s="1" t="n">
        <v>15933</v>
      </c>
      <c r="H338" s="1" t="n">
        <v>-8.89</v>
      </c>
      <c r="I338" s="12" t="n">
        <f aca="false">H338*3.6</f>
        <v>-32.004</v>
      </c>
      <c r="M338" s="3" t="n">
        <f aca="false">M337-0.016/40</f>
        <v>4.04160000000002</v>
      </c>
      <c r="N338" s="12" t="n">
        <f aca="false">E338*(-F338)</f>
        <v>89.9200000000001</v>
      </c>
    </row>
    <row r="339" customFormat="false" ht="12.8" hidden="false" customHeight="false" outlineLevel="0" collapsed="false">
      <c r="A339" s="14" t="n">
        <v>0.709375</v>
      </c>
      <c r="B339" s="2" t="n">
        <v>-39.1833333333333</v>
      </c>
      <c r="C339" s="2" t="n">
        <v>-31.3666666666667</v>
      </c>
      <c r="D339" s="2" t="n">
        <v>101.130606647306</v>
      </c>
      <c r="E339" s="3" t="n">
        <v>3.746</v>
      </c>
      <c r="F339" s="2" t="n">
        <v>-25</v>
      </c>
      <c r="G339" s="1" t="n">
        <v>15657</v>
      </c>
      <c r="H339" s="1" t="n">
        <v>-9.23</v>
      </c>
      <c r="I339" s="12" t="n">
        <f aca="false">H339*3.6</f>
        <v>-33.228</v>
      </c>
      <c r="M339" s="3" t="n">
        <f aca="false">M338-0.016/40</f>
        <v>4.04120000000002</v>
      </c>
      <c r="N339" s="12" t="n">
        <f aca="false">E339*(-F339)</f>
        <v>93.65</v>
      </c>
    </row>
    <row r="340" customFormat="false" ht="12.8" hidden="false" customHeight="false" outlineLevel="0" collapsed="false">
      <c r="A340" s="13" t="n">
        <v>0.709722222222222</v>
      </c>
      <c r="B340" s="2" t="n">
        <v>-39.7666666666667</v>
      </c>
      <c r="C340" s="2" t="n">
        <v>-31.5333333333333</v>
      </c>
      <c r="D340" s="2" t="n">
        <v>105.511600516296</v>
      </c>
      <c r="E340" s="3" t="n">
        <v>3.74066666666667</v>
      </c>
      <c r="F340" s="2" t="n">
        <v>-25.1666666666667</v>
      </c>
      <c r="G340" s="1" t="n">
        <v>15366</v>
      </c>
      <c r="H340" s="1" t="n">
        <v>-10.8</v>
      </c>
      <c r="I340" s="12" t="n">
        <f aca="false">H340*3.6</f>
        <v>-38.88</v>
      </c>
      <c r="M340" s="3" t="n">
        <f aca="false">M339-0.016/40</f>
        <v>4.04080000000002</v>
      </c>
      <c r="N340" s="12" t="n">
        <f aca="false">E340*(-F340)</f>
        <v>94.1401111111113</v>
      </c>
    </row>
    <row r="341" customFormat="false" ht="12.8" hidden="false" customHeight="false" outlineLevel="0" collapsed="false">
      <c r="A341" s="14" t="n">
        <v>0.710069444444444</v>
      </c>
      <c r="B341" s="2" t="n">
        <v>-40.45</v>
      </c>
      <c r="C341" s="2" t="n">
        <v>-31.6833333333333</v>
      </c>
      <c r="D341" s="2" t="n">
        <v>110.036495643756</v>
      </c>
      <c r="E341" s="3" t="n">
        <v>3.73933333333333</v>
      </c>
      <c r="F341" s="2" t="n">
        <v>-24.6666666666667</v>
      </c>
      <c r="G341" s="1" t="n">
        <v>15031</v>
      </c>
      <c r="H341" s="1" t="n">
        <v>-10.5</v>
      </c>
      <c r="I341" s="12" t="n">
        <f aca="false">H341*3.6</f>
        <v>-37.8</v>
      </c>
      <c r="M341" s="3" t="n">
        <f aca="false">M340-0.016/40</f>
        <v>4.04040000000002</v>
      </c>
      <c r="N341" s="12" t="n">
        <f aca="false">E341*(-F341)</f>
        <v>92.2368888888889</v>
      </c>
    </row>
    <row r="342" customFormat="false" ht="12.8" hidden="false" customHeight="false" outlineLevel="0" collapsed="false">
      <c r="A342" s="13" t="n">
        <v>0.710416666666667</v>
      </c>
      <c r="B342" s="2" t="n">
        <v>-40.95</v>
      </c>
      <c r="C342" s="2" t="n">
        <v>-31.85</v>
      </c>
      <c r="D342" s="2" t="n">
        <v>115.041061632785</v>
      </c>
      <c r="E342" s="3" t="n">
        <v>3.738</v>
      </c>
      <c r="F342" s="2" t="n">
        <v>-24.8333333333333</v>
      </c>
      <c r="G342" s="1" t="n">
        <v>14709</v>
      </c>
      <c r="H342" s="1" t="n">
        <v>-10.6</v>
      </c>
      <c r="I342" s="12" t="n">
        <f aca="false">H342*3.6</f>
        <v>-38.16</v>
      </c>
      <c r="M342" s="3" t="n">
        <f aca="false">M341-0.016/40</f>
        <v>4.04000000000002</v>
      </c>
      <c r="N342" s="12" t="n">
        <f aca="false">E342*(-F342)</f>
        <v>92.8269999999999</v>
      </c>
    </row>
    <row r="343" customFormat="false" ht="12.8" hidden="false" customHeight="false" outlineLevel="0" collapsed="false">
      <c r="A343" s="14" t="n">
        <v>0.710763888888889</v>
      </c>
      <c r="B343" s="2" t="n">
        <v>-41.45</v>
      </c>
      <c r="C343" s="2" t="n">
        <v>-32.0333333333333</v>
      </c>
      <c r="D343" s="2" t="n">
        <v>120.813101000323</v>
      </c>
      <c r="E343" s="3" t="n">
        <v>3.73533333333333</v>
      </c>
      <c r="F343" s="2" t="n">
        <v>-23.6666666666667</v>
      </c>
      <c r="G343" s="1" t="n">
        <v>14402</v>
      </c>
      <c r="H343" s="1" t="n">
        <v>-10.2</v>
      </c>
      <c r="I343" s="12" t="n">
        <f aca="false">H343*3.6</f>
        <v>-36.72</v>
      </c>
      <c r="M343" s="3" t="n">
        <f aca="false">M342-0.016/40</f>
        <v>4.03960000000002</v>
      </c>
      <c r="N343" s="12" t="n">
        <f aca="false">E343*(-F343)</f>
        <v>88.4028888888889</v>
      </c>
    </row>
    <row r="344" customFormat="false" ht="12.8" hidden="false" customHeight="false" outlineLevel="0" collapsed="false">
      <c r="A344" s="13" t="n">
        <v>0.711111111111111</v>
      </c>
      <c r="B344" s="2" t="n">
        <v>-42.0666666666667</v>
      </c>
      <c r="C344" s="2" t="n">
        <v>-32.2166666666667</v>
      </c>
      <c r="D344" s="2" t="n">
        <v>127.112778315586</v>
      </c>
      <c r="E344" s="3" t="n">
        <v>3.734</v>
      </c>
      <c r="F344" s="2" t="n">
        <v>-25.1666666666667</v>
      </c>
      <c r="G344" s="1" t="n">
        <v>14098</v>
      </c>
      <c r="H344" s="1" t="n">
        <v>-9.91</v>
      </c>
      <c r="I344" s="12" t="n">
        <f aca="false">H344*3.6</f>
        <v>-35.676</v>
      </c>
      <c r="M344" s="3" t="n">
        <f aca="false">M343-0.016/40</f>
        <v>4.03920000000002</v>
      </c>
      <c r="N344" s="12" t="n">
        <f aca="false">E344*(-F344)</f>
        <v>93.9723333333335</v>
      </c>
    </row>
    <row r="345" customFormat="false" ht="12.8" hidden="false" customHeight="false" outlineLevel="0" collapsed="false">
      <c r="A345" s="14" t="n">
        <v>0.711458333333333</v>
      </c>
      <c r="B345" s="2" t="n">
        <v>-42.7166666666667</v>
      </c>
      <c r="C345" s="2" t="n">
        <v>-32.3833333333333</v>
      </c>
      <c r="D345" s="2" t="n">
        <v>133.636302032914</v>
      </c>
      <c r="E345" s="3" t="n">
        <v>3.73133333333333</v>
      </c>
      <c r="F345" s="2" t="n">
        <v>-24</v>
      </c>
      <c r="G345" s="1" t="n">
        <v>13811</v>
      </c>
      <c r="H345" s="1" t="n">
        <v>-9.78</v>
      </c>
      <c r="I345" s="12" t="n">
        <f aca="false">H345*3.6</f>
        <v>-35.208</v>
      </c>
      <c r="M345" s="3" t="n">
        <f aca="false">M344-0.016/40</f>
        <v>4.03880000000002</v>
      </c>
      <c r="N345" s="12" t="n">
        <f aca="false">E345*(-F345)</f>
        <v>89.5519999999999</v>
      </c>
    </row>
    <row r="346" customFormat="false" ht="12.8" hidden="false" customHeight="false" outlineLevel="0" collapsed="false">
      <c r="A346" s="13" t="n">
        <v>0.711805555555556</v>
      </c>
      <c r="B346" s="2" t="n">
        <v>-43.55</v>
      </c>
      <c r="C346" s="2" t="n">
        <v>-32.5833333333333</v>
      </c>
      <c r="D346" s="2" t="n">
        <v>140.415650209745</v>
      </c>
      <c r="E346" s="3" t="n">
        <v>3.728</v>
      </c>
      <c r="F346" s="2" t="n">
        <v>-25.5</v>
      </c>
      <c r="G346" s="1" t="n">
        <v>13533</v>
      </c>
      <c r="H346" s="1" t="n">
        <v>-9.25</v>
      </c>
      <c r="I346" s="12" t="n">
        <f aca="false">H346*3.6</f>
        <v>-33.3</v>
      </c>
      <c r="M346" s="3" t="n">
        <f aca="false">M345-0.016/40</f>
        <v>4.03840000000002</v>
      </c>
      <c r="N346" s="12" t="n">
        <f aca="false">E346*(-F346)</f>
        <v>95.064</v>
      </c>
    </row>
    <row r="347" customFormat="false" ht="12.8" hidden="false" customHeight="false" outlineLevel="0" collapsed="false">
      <c r="A347" s="14" t="n">
        <v>0.712152777777778</v>
      </c>
      <c r="B347" s="2" t="n">
        <v>-44.25</v>
      </c>
      <c r="C347" s="2" t="n">
        <v>-32.75</v>
      </c>
      <c r="D347" s="2" t="n">
        <v>147.354888673766</v>
      </c>
      <c r="E347" s="3" t="n">
        <v>3.72466666666667</v>
      </c>
      <c r="F347" s="2" t="n">
        <v>-23.8333333333333</v>
      </c>
      <c r="G347" s="1" t="n">
        <v>13241</v>
      </c>
      <c r="H347" s="1" t="n">
        <v>-9.05</v>
      </c>
      <c r="I347" s="12" t="n">
        <f aca="false">H347*3.6</f>
        <v>-32.58</v>
      </c>
      <c r="M347" s="3" t="n">
        <f aca="false">M346-0.016/40</f>
        <v>4.03800000000002</v>
      </c>
      <c r="N347" s="12" t="n">
        <f aca="false">E347*(-F347)</f>
        <v>88.7712222222222</v>
      </c>
    </row>
    <row r="348" customFormat="false" ht="12.8" hidden="false" customHeight="false" outlineLevel="0" collapsed="false">
      <c r="A348" s="13" t="n">
        <v>0.7125</v>
      </c>
      <c r="B348" s="2" t="n">
        <v>-44.9</v>
      </c>
      <c r="C348" s="2" t="n">
        <v>-32.95</v>
      </c>
      <c r="D348" s="2" t="n">
        <v>154.501984511133</v>
      </c>
      <c r="E348" s="3" t="n">
        <v>3.72333333333333</v>
      </c>
      <c r="F348" s="2" t="n">
        <v>-25.1666666666667</v>
      </c>
      <c r="G348" s="1" t="n">
        <v>12969</v>
      </c>
      <c r="H348" s="1" t="n">
        <v>-9.11</v>
      </c>
      <c r="I348" s="12" t="n">
        <f aca="false">H348*3.6</f>
        <v>-32.796</v>
      </c>
      <c r="M348" s="3" t="n">
        <f aca="false">M347-0.016/40</f>
        <v>4.03760000000002</v>
      </c>
      <c r="N348" s="12" t="n">
        <f aca="false">E348*(-F348)</f>
        <v>93.7038888888889</v>
      </c>
    </row>
    <row r="349" customFormat="false" ht="12.8" hidden="false" customHeight="false" outlineLevel="0" collapsed="false">
      <c r="A349" s="14" t="n">
        <v>0.712847222222222</v>
      </c>
      <c r="B349" s="2" t="n">
        <v>-45.6333333333333</v>
      </c>
      <c r="C349" s="2" t="n">
        <v>-33.15</v>
      </c>
      <c r="D349" s="2" t="n">
        <v>161.761003549532</v>
      </c>
      <c r="E349" s="3" t="n">
        <v>3.72</v>
      </c>
      <c r="F349" s="2" t="n">
        <v>-23.6666666666667</v>
      </c>
      <c r="G349" s="1" t="n">
        <v>12710</v>
      </c>
      <c r="H349" s="1" t="n">
        <v>-8.73</v>
      </c>
      <c r="I349" s="12" t="n">
        <f aca="false">H349*3.6</f>
        <v>-31.428</v>
      </c>
      <c r="M349" s="3" t="n">
        <f aca="false">M348-0.016/40</f>
        <v>4.03720000000002</v>
      </c>
      <c r="N349" s="12" t="n">
        <f aca="false">E349*(-F349)</f>
        <v>88.0400000000001</v>
      </c>
    </row>
    <row r="350" customFormat="false" ht="12.8" hidden="false" customHeight="false" outlineLevel="0" collapsed="false">
      <c r="A350" s="13" t="n">
        <v>0.713194444444445</v>
      </c>
      <c r="B350" s="2" t="n">
        <v>-46.2666666666667</v>
      </c>
      <c r="C350" s="2" t="n">
        <v>-33.35</v>
      </c>
      <c r="D350" s="2" t="n">
        <v>169.052000645369</v>
      </c>
      <c r="E350" s="3" t="n">
        <v>3.71733333333333</v>
      </c>
      <c r="F350" s="2" t="n">
        <v>-25.5</v>
      </c>
      <c r="G350" s="1" t="n">
        <v>12456</v>
      </c>
      <c r="H350" s="1" t="n">
        <v>-8.5</v>
      </c>
      <c r="I350" s="12" t="n">
        <f aca="false">H350*3.6</f>
        <v>-30.6</v>
      </c>
      <c r="M350" s="3" t="n">
        <f aca="false">M349-0.016/40</f>
        <v>4.03680000000002</v>
      </c>
      <c r="N350" s="12" t="n">
        <f aca="false">E350*(-F350)</f>
        <v>94.7919999999999</v>
      </c>
    </row>
    <row r="351" customFormat="false" ht="12.8" hidden="false" customHeight="false" outlineLevel="0" collapsed="false">
      <c r="A351" s="14" t="n">
        <v>0.713541666666667</v>
      </c>
      <c r="B351" s="2" t="n">
        <v>-46.55</v>
      </c>
      <c r="C351" s="2" t="n">
        <v>-33.55</v>
      </c>
      <c r="D351" s="2" t="n">
        <v>176.486898999677</v>
      </c>
      <c r="E351" s="3" t="n">
        <v>3.714</v>
      </c>
      <c r="F351" s="2" t="n">
        <v>-23.3333333333333</v>
      </c>
      <c r="G351" s="1" t="n">
        <v>12204</v>
      </c>
      <c r="H351" s="1" t="n">
        <v>-8.45</v>
      </c>
      <c r="I351" s="12" t="n">
        <f aca="false">H351*3.6</f>
        <v>-30.42</v>
      </c>
      <c r="M351" s="3" t="n">
        <f aca="false">M350-0.016/40</f>
        <v>4.03640000000002</v>
      </c>
      <c r="N351" s="12" t="n">
        <f aca="false">E351*(-F351)</f>
        <v>86.6599999999999</v>
      </c>
    </row>
    <row r="352" customFormat="false" ht="12.8" hidden="false" customHeight="false" outlineLevel="0" collapsed="false">
      <c r="A352" s="13" t="n">
        <v>0.713888888888889</v>
      </c>
      <c r="B352" s="2" t="n">
        <v>-46.8166666666667</v>
      </c>
      <c r="C352" s="2" t="n">
        <v>-33.75</v>
      </c>
      <c r="D352" s="2" t="n">
        <v>184.113665698612</v>
      </c>
      <c r="E352" s="3" t="n">
        <v>3.71066666666667</v>
      </c>
      <c r="F352" s="2" t="n">
        <v>-23.8333333333333</v>
      </c>
      <c r="G352" s="1" t="n">
        <v>11961</v>
      </c>
      <c r="H352" s="1" t="n">
        <v>-8.2</v>
      </c>
      <c r="I352" s="12" t="n">
        <f aca="false">H352*3.6</f>
        <v>-29.52</v>
      </c>
      <c r="M352" s="3" t="n">
        <f aca="false">M351-0.016/40</f>
        <v>4.03600000000002</v>
      </c>
      <c r="N352" s="12" t="n">
        <f aca="false">E352*(-F352)</f>
        <v>88.4375555555555</v>
      </c>
    </row>
    <row r="353" customFormat="false" ht="12.8" hidden="false" customHeight="false" outlineLevel="0" collapsed="false">
      <c r="A353" s="14" t="n">
        <v>0.714236111111111</v>
      </c>
      <c r="B353" s="2" t="n">
        <v>-47.2</v>
      </c>
      <c r="C353" s="2" t="n">
        <v>-33.9833333333333</v>
      </c>
      <c r="D353" s="2" t="n">
        <v>191.836366569861</v>
      </c>
      <c r="E353" s="3" t="n">
        <v>3.70533333333333</v>
      </c>
      <c r="F353" s="2" t="n">
        <v>-25.3333333333333</v>
      </c>
      <c r="G353" s="1" t="n">
        <v>11710</v>
      </c>
      <c r="H353" s="1" t="n">
        <v>-8.22</v>
      </c>
      <c r="I353" s="12" t="n">
        <f aca="false">H353*3.6</f>
        <v>-29.592</v>
      </c>
      <c r="M353" s="3" t="n">
        <f aca="false">M352-0.016/40</f>
        <v>4.03560000000002</v>
      </c>
      <c r="N353" s="12" t="n">
        <f aca="false">E353*(-F353)</f>
        <v>93.8684444444442</v>
      </c>
    </row>
    <row r="354" customFormat="false" ht="12.8" hidden="false" customHeight="false" outlineLevel="0" collapsed="false">
      <c r="A354" s="13" t="n">
        <v>0.714583333333333</v>
      </c>
      <c r="B354" s="2" t="n">
        <v>-47.0333333333333</v>
      </c>
      <c r="C354" s="2" t="n">
        <v>-34.1833333333333</v>
      </c>
      <c r="D354" s="2" t="n">
        <v>199.734946757018</v>
      </c>
      <c r="E354" s="3" t="n">
        <v>3.70133333333333</v>
      </c>
      <c r="F354" s="2" t="n">
        <v>-23.3333333333333</v>
      </c>
      <c r="G354" s="1" t="n">
        <v>11450</v>
      </c>
      <c r="H354" s="1" t="n">
        <v>-8.08</v>
      </c>
      <c r="I354" s="12" t="n">
        <f aca="false">H354*3.6</f>
        <v>-29.088</v>
      </c>
      <c r="M354" s="3" t="n">
        <f aca="false">M353-0.016/40</f>
        <v>4.03520000000002</v>
      </c>
      <c r="N354" s="12" t="n">
        <f aca="false">E354*(-F354)</f>
        <v>86.3644444444443</v>
      </c>
    </row>
    <row r="355" customFormat="false" ht="12.8" hidden="false" customHeight="false" outlineLevel="0" collapsed="false">
      <c r="A355" s="14" t="n">
        <v>0.714930555555556</v>
      </c>
      <c r="B355" s="2" t="n">
        <v>-46.8333333333333</v>
      </c>
      <c r="C355" s="2" t="n">
        <v>-34.4</v>
      </c>
      <c r="D355" s="2" t="n">
        <v>207.87336237496</v>
      </c>
      <c r="E355" s="3" t="n">
        <v>3.69666666666667</v>
      </c>
      <c r="F355" s="2" t="n">
        <v>-23.5</v>
      </c>
      <c r="G355" s="1" t="n">
        <v>11217</v>
      </c>
      <c r="H355" s="1" t="n">
        <v>-7.93</v>
      </c>
      <c r="I355" s="12" t="n">
        <f aca="false">H355*3.6</f>
        <v>-28.548</v>
      </c>
      <c r="M355" s="3" t="n">
        <f aca="false">M354-0.016/40</f>
        <v>4.03480000000002</v>
      </c>
      <c r="N355" s="12" t="n">
        <f aca="false">E355*(-F355)</f>
        <v>86.8716666666667</v>
      </c>
    </row>
    <row r="356" customFormat="false" ht="12.8" hidden="false" customHeight="false" outlineLevel="0" collapsed="false">
      <c r="A356" s="13" t="n">
        <v>0.715277777777778</v>
      </c>
      <c r="B356" s="2" t="n">
        <v>-46.7</v>
      </c>
      <c r="C356" s="2" t="n">
        <v>-34.6166666666667</v>
      </c>
      <c r="D356" s="2" t="n">
        <v>216.091723136496</v>
      </c>
      <c r="E356" s="3" t="n">
        <v>3.69466666666667</v>
      </c>
      <c r="F356" s="2" t="n">
        <v>-25.1666666666667</v>
      </c>
      <c r="G356" s="1" t="n">
        <v>10986</v>
      </c>
      <c r="H356" s="1" t="n">
        <v>-7.74</v>
      </c>
      <c r="I356" s="12" t="n">
        <f aca="false">H356*3.6</f>
        <v>-27.864</v>
      </c>
      <c r="M356" s="3" t="n">
        <f aca="false">M355-0.016/40</f>
        <v>4.03440000000002</v>
      </c>
      <c r="N356" s="12" t="n">
        <f aca="false">E356*(-F356)</f>
        <v>92.9824444444447</v>
      </c>
    </row>
    <row r="357" customFormat="false" ht="12.8" hidden="false" customHeight="false" outlineLevel="0" collapsed="false">
      <c r="A357" s="14" t="n">
        <v>0.715625</v>
      </c>
      <c r="B357" s="2" t="n">
        <v>-46.2666666666667</v>
      </c>
      <c r="C357" s="2" t="n">
        <v>-34.8166666666667</v>
      </c>
      <c r="D357" s="2" t="n">
        <v>224.422007099064</v>
      </c>
      <c r="E357" s="3" t="n">
        <v>3.69</v>
      </c>
      <c r="F357" s="2" t="n">
        <v>-25</v>
      </c>
      <c r="G357" s="1" t="n">
        <v>10744</v>
      </c>
      <c r="H357" s="1" t="n">
        <v>-7.71</v>
      </c>
      <c r="I357" s="12" t="n">
        <f aca="false">H357*3.6</f>
        <v>-27.756</v>
      </c>
      <c r="M357" s="3" t="n">
        <f aca="false">M356-0.016/40</f>
        <v>4.03400000000002</v>
      </c>
      <c r="N357" s="12" t="n">
        <f aca="false">E357*(-F357)</f>
        <v>92.25</v>
      </c>
    </row>
    <row r="358" customFormat="false" ht="12.8" hidden="false" customHeight="false" outlineLevel="0" collapsed="false">
      <c r="A358" s="13" t="n">
        <v>0.715972222222222</v>
      </c>
      <c r="B358" s="2" t="n">
        <v>-45.4166666666667</v>
      </c>
      <c r="C358" s="2" t="n">
        <v>-35.05</v>
      </c>
      <c r="D358" s="2" t="n">
        <v>232.832236205228</v>
      </c>
      <c r="E358" s="3" t="n">
        <v>3.684</v>
      </c>
      <c r="F358" s="2" t="n">
        <v>-23.3333333333333</v>
      </c>
      <c r="G358" s="1" t="n">
        <v>10510</v>
      </c>
      <c r="H358" s="1" t="n">
        <v>-7.63</v>
      </c>
      <c r="I358" s="12" t="n">
        <f aca="false">H358*3.6</f>
        <v>-27.468</v>
      </c>
      <c r="M358" s="3" t="n">
        <f aca="false">M357-0.016/40</f>
        <v>4.03360000000002</v>
      </c>
      <c r="N358" s="12" t="n">
        <f aca="false">E358*(-F358)</f>
        <v>85.9599999999999</v>
      </c>
    </row>
    <row r="359" customFormat="false" ht="12.8" hidden="false" customHeight="false" outlineLevel="0" collapsed="false">
      <c r="A359" s="14" t="n">
        <v>0.716319444444445</v>
      </c>
      <c r="B359" s="2" t="n">
        <v>-44.8333333333333</v>
      </c>
      <c r="C359" s="2" t="n">
        <v>-35.25</v>
      </c>
      <c r="D359" s="2" t="n">
        <v>241.386366569861</v>
      </c>
      <c r="E359" s="3" t="n">
        <v>3.68</v>
      </c>
      <c r="F359" s="2" t="n">
        <v>-23.5</v>
      </c>
      <c r="G359" s="1" t="n">
        <v>10292</v>
      </c>
      <c r="H359" s="1" t="n">
        <v>-7.45</v>
      </c>
      <c r="I359" s="12" t="n">
        <f aca="false">H359*3.6</f>
        <v>-26.82</v>
      </c>
      <c r="M359" s="3" t="n">
        <f aca="false">M358-0.016/40</f>
        <v>4.03320000000002</v>
      </c>
      <c r="N359" s="12" t="n">
        <f aca="false">E359*(-F359)</f>
        <v>86.48</v>
      </c>
    </row>
    <row r="360" customFormat="false" ht="12.8" hidden="false" customHeight="false" outlineLevel="0" collapsed="false">
      <c r="A360" s="13" t="n">
        <v>0.716666666666667</v>
      </c>
      <c r="B360" s="2" t="n">
        <v>-44</v>
      </c>
      <c r="C360" s="2" t="n">
        <v>-35.4666666666667</v>
      </c>
      <c r="D360" s="2" t="n">
        <v>250.100387221684</v>
      </c>
      <c r="E360" s="3" t="n">
        <v>3.67733333333333</v>
      </c>
      <c r="F360" s="2" t="n">
        <v>-23.6666666666667</v>
      </c>
      <c r="G360" s="1" t="n">
        <v>10076</v>
      </c>
      <c r="H360" s="1" t="n">
        <v>-7.16</v>
      </c>
      <c r="I360" s="12" t="n">
        <f aca="false">H360*3.6</f>
        <v>-25.776</v>
      </c>
      <c r="M360" s="3" t="n">
        <f aca="false">M359-0.016/40</f>
        <v>4.03280000000002</v>
      </c>
      <c r="N360" s="12" t="n">
        <f aca="false">E360*(-F360)</f>
        <v>87.0302222222223</v>
      </c>
    </row>
    <row r="361" customFormat="false" ht="12.8" hidden="false" customHeight="false" outlineLevel="0" collapsed="false">
      <c r="A361" s="13" t="n">
        <v>0.717013888888889</v>
      </c>
      <c r="B361" s="2" t="n">
        <v>-43.2833333333333</v>
      </c>
      <c r="C361" s="2" t="n">
        <v>-35.65</v>
      </c>
      <c r="D361" s="2" t="n">
        <v>258.830396902227</v>
      </c>
      <c r="E361" s="3" t="n">
        <v>3.674</v>
      </c>
      <c r="F361" s="2" t="n">
        <v>-24.8333333333333</v>
      </c>
      <c r="G361" s="1" t="n">
        <v>9867</v>
      </c>
      <c r="H361" s="1" t="n">
        <v>-7</v>
      </c>
      <c r="I361" s="12" t="n">
        <f aca="false">H361*3.6</f>
        <v>-25.2</v>
      </c>
      <c r="M361" s="3" t="n">
        <f aca="false">M360-0.016/40</f>
        <v>4.03240000000002</v>
      </c>
      <c r="N361" s="12" t="n">
        <f aca="false">E361*(-F361)</f>
        <v>91.2376666666665</v>
      </c>
    </row>
    <row r="362" customFormat="false" ht="12.8" hidden="false" customHeight="false" outlineLevel="0" collapsed="false">
      <c r="A362" s="14" t="n">
        <v>0.717361111111111</v>
      </c>
      <c r="B362" s="2" t="n">
        <v>-42.15</v>
      </c>
      <c r="C362" s="2" t="n">
        <v>-35.85</v>
      </c>
      <c r="D362" s="2" t="n">
        <v>267.656340755082</v>
      </c>
      <c r="E362" s="3" t="n">
        <v>3.67</v>
      </c>
      <c r="F362" s="2" t="n">
        <v>-25.6666666666667</v>
      </c>
      <c r="G362" s="1" t="n">
        <v>9662</v>
      </c>
      <c r="H362" s="1" t="n">
        <v>-6.73</v>
      </c>
      <c r="I362" s="12" t="n">
        <f aca="false">H362*3.6</f>
        <v>-24.228</v>
      </c>
      <c r="M362" s="3" t="n">
        <f aca="false">M361-0.016/40</f>
        <v>4.03200000000002</v>
      </c>
      <c r="N362" s="12" t="n">
        <f aca="false">E362*(-F362)</f>
        <v>94.1966666666668</v>
      </c>
    </row>
    <row r="363" customFormat="false" ht="12.8" hidden="false" customHeight="false" outlineLevel="0" collapsed="false">
      <c r="A363" s="13" t="n">
        <v>0.717708333333333</v>
      </c>
      <c r="B363" s="2" t="n">
        <v>-41.1833333333333</v>
      </c>
      <c r="C363" s="2" t="n">
        <v>-36.0166666666667</v>
      </c>
      <c r="D363" s="2" t="n">
        <v>276.482284607938</v>
      </c>
      <c r="E363" s="3" t="n">
        <v>3.66533333333333</v>
      </c>
      <c r="F363" s="2" t="n">
        <v>-26.3333333333333</v>
      </c>
      <c r="G363" s="1" t="n">
        <v>9460</v>
      </c>
      <c r="H363" s="1" t="n">
        <v>-6.89</v>
      </c>
      <c r="I363" s="12" t="n">
        <f aca="false">H363*3.6</f>
        <v>-24.804</v>
      </c>
      <c r="M363" s="3" t="n">
        <f aca="false">M362-0.016/40</f>
        <v>4.03160000000002</v>
      </c>
      <c r="N363" s="12" t="n">
        <f aca="false">E363*(-F363)</f>
        <v>96.5204444444442</v>
      </c>
    </row>
    <row r="364" customFormat="false" ht="12.8" hidden="false" customHeight="false" outlineLevel="0" collapsed="false">
      <c r="A364" s="14" t="n">
        <v>0.718055555555556</v>
      </c>
      <c r="B364" s="2" t="n">
        <v>-40.3</v>
      </c>
      <c r="C364" s="2" t="n">
        <v>-36.1666666666667</v>
      </c>
      <c r="D364" s="2" t="n">
        <v>285.356195546951</v>
      </c>
      <c r="E364" s="3" t="n">
        <v>3.66266666666667</v>
      </c>
      <c r="F364" s="2" t="n">
        <v>-23.3333333333333</v>
      </c>
      <c r="G364" s="1" t="n">
        <v>9261</v>
      </c>
      <c r="H364" s="1" t="n">
        <v>-6.81</v>
      </c>
      <c r="I364" s="12" t="n">
        <f aca="false">H364*3.6</f>
        <v>-24.516</v>
      </c>
      <c r="M364" s="3" t="n">
        <f aca="false">M363-0.016/40</f>
        <v>4.03120000000002</v>
      </c>
      <c r="N364" s="12" t="n">
        <f aca="false">E364*(-F364)</f>
        <v>85.4622222222222</v>
      </c>
    </row>
    <row r="365" customFormat="false" ht="12.8" hidden="false" customHeight="false" outlineLevel="0" collapsed="false">
      <c r="A365" s="13" t="n">
        <v>0.718402777777778</v>
      </c>
      <c r="B365" s="2" t="n">
        <v>-39.4333333333333</v>
      </c>
      <c r="C365" s="2" t="n">
        <v>-36.3166666666667</v>
      </c>
      <c r="D365" s="2" t="n">
        <v>294.182139399806</v>
      </c>
      <c r="E365" s="3" t="n">
        <v>3.65933333333333</v>
      </c>
      <c r="F365" s="2" t="n">
        <v>-23.3333333333333</v>
      </c>
      <c r="G365" s="1" t="n">
        <v>9072</v>
      </c>
      <c r="H365" s="1" t="n">
        <v>-6.77</v>
      </c>
      <c r="I365" s="12" t="n">
        <f aca="false">H365*3.6</f>
        <v>-24.372</v>
      </c>
      <c r="M365" s="3" t="n">
        <f aca="false">M364-0.016/40</f>
        <v>4.03080000000002</v>
      </c>
      <c r="N365" s="12" t="n">
        <f aca="false">E365*(-F365)</f>
        <v>85.3844444444442</v>
      </c>
    </row>
    <row r="366" customFormat="false" ht="12.8" hidden="false" customHeight="false" outlineLevel="0" collapsed="false">
      <c r="A366" s="14" t="n">
        <v>0.71875</v>
      </c>
      <c r="B366" s="2" t="n">
        <v>-38.5833333333333</v>
      </c>
      <c r="C366" s="2" t="n">
        <v>-36.45</v>
      </c>
      <c r="D366" s="2" t="n">
        <v>303.151984511133</v>
      </c>
      <c r="E366" s="3" t="n">
        <v>3.65533333333333</v>
      </c>
      <c r="F366" s="2" t="n">
        <v>-23</v>
      </c>
      <c r="G366" s="1" t="n">
        <v>8858</v>
      </c>
      <c r="H366" s="1" t="n">
        <v>-6.45</v>
      </c>
      <c r="I366" s="12" t="n">
        <f aca="false">H366*3.6</f>
        <v>-23.22</v>
      </c>
      <c r="M366" s="3" t="n">
        <f aca="false">M365-0.016/40</f>
        <v>4.03040000000002</v>
      </c>
      <c r="N366" s="12" t="n">
        <f aca="false">E366*(-F366)</f>
        <v>84.0726666666666</v>
      </c>
    </row>
    <row r="367" customFormat="false" ht="12.8" hidden="false" customHeight="false" outlineLevel="0" collapsed="false">
      <c r="A367" s="13" t="n">
        <v>0.719097222222222</v>
      </c>
      <c r="B367" s="2" t="n">
        <v>-37.4833333333333</v>
      </c>
      <c r="C367" s="2" t="n">
        <v>-36.5666666666667</v>
      </c>
      <c r="D367" s="2" t="n">
        <v>312.185785737335</v>
      </c>
      <c r="E367" s="3" t="n">
        <v>3.652</v>
      </c>
      <c r="F367" s="2" t="n">
        <v>-23</v>
      </c>
      <c r="G367" s="1" t="n">
        <v>8658</v>
      </c>
      <c r="H367" s="1" t="n">
        <v>-6.58</v>
      </c>
      <c r="I367" s="12" t="n">
        <f aca="false">H367*3.6</f>
        <v>-23.688</v>
      </c>
      <c r="M367" s="3" t="n">
        <f aca="false">M366-0.016/40</f>
        <v>4.03000000000002</v>
      </c>
      <c r="N367" s="12" t="n">
        <f aca="false">E367*(-F367)</f>
        <v>83.996</v>
      </c>
    </row>
    <row r="368" customFormat="false" ht="12.8" hidden="false" customHeight="false" outlineLevel="0" collapsed="false">
      <c r="A368" s="14" t="n">
        <v>0.719444444444444</v>
      </c>
      <c r="B368" s="2" t="n">
        <v>-36.4166666666667</v>
      </c>
      <c r="C368" s="2" t="n">
        <v>-36.6833333333333</v>
      </c>
      <c r="D368" s="2" t="n">
        <v>321.363488222007</v>
      </c>
      <c r="E368" s="3" t="n">
        <v>3.65</v>
      </c>
      <c r="F368" s="2" t="n">
        <v>-23</v>
      </c>
      <c r="G368" s="1" t="n">
        <v>8467</v>
      </c>
      <c r="H368" s="1" t="n">
        <v>-6.47</v>
      </c>
      <c r="I368" s="12" t="n">
        <f aca="false">H368*3.6</f>
        <v>-23.292</v>
      </c>
      <c r="M368" s="3" t="n">
        <f aca="false">M367-0.016/40</f>
        <v>4.02960000000002</v>
      </c>
      <c r="N368" s="12" t="n">
        <f aca="false">E368*(-F368)</f>
        <v>83.95</v>
      </c>
    </row>
    <row r="369" customFormat="false" ht="12.8" hidden="false" customHeight="false" outlineLevel="0" collapsed="false">
      <c r="A369" s="13" t="n">
        <v>0.719791666666667</v>
      </c>
      <c r="B369" s="2" t="n">
        <v>-35.2</v>
      </c>
      <c r="C369" s="2" t="n">
        <v>-36.7666666666667</v>
      </c>
      <c r="D369" s="2" t="n">
        <v>330.605146821555</v>
      </c>
      <c r="E369" s="3" t="n">
        <v>3.648</v>
      </c>
      <c r="F369" s="2" t="n">
        <v>-23</v>
      </c>
      <c r="G369" s="1" t="n">
        <v>8281</v>
      </c>
      <c r="H369" s="1" t="n">
        <v>-6.23</v>
      </c>
      <c r="I369" s="12" t="n">
        <f aca="false">H369*3.6</f>
        <v>-22.428</v>
      </c>
      <c r="M369" s="3" t="n">
        <f aca="false">M368-0.016/40</f>
        <v>4.02920000000002</v>
      </c>
      <c r="N369" s="12" t="n">
        <f aca="false">E369*(-F369)</f>
        <v>83.904</v>
      </c>
    </row>
    <row r="370" customFormat="false" ht="12.8" hidden="false" customHeight="false" outlineLevel="0" collapsed="false">
      <c r="A370" s="14" t="n">
        <v>0.720138888888889</v>
      </c>
      <c r="B370" s="2" t="n">
        <v>-34.1</v>
      </c>
      <c r="C370" s="2" t="n">
        <v>-36.8</v>
      </c>
      <c r="D370" s="2" t="n">
        <v>340.022684737012</v>
      </c>
      <c r="E370" s="3" t="n">
        <v>3.64466666666667</v>
      </c>
      <c r="F370" s="2" t="n">
        <v>-23.6666666666667</v>
      </c>
      <c r="G370" s="1" t="n">
        <v>8091</v>
      </c>
      <c r="H370" s="1" t="n">
        <v>-6.2</v>
      </c>
      <c r="I370" s="12" t="n">
        <f aca="false">H370*3.6</f>
        <v>-22.32</v>
      </c>
      <c r="M370" s="3" t="n">
        <f aca="false">M369-0.016/40</f>
        <v>4.02880000000002</v>
      </c>
      <c r="N370" s="12" t="n">
        <f aca="false">E370*(-F370)</f>
        <v>86.2571111111113</v>
      </c>
    </row>
    <row r="371" customFormat="false" ht="12.8" hidden="false" customHeight="false" outlineLevel="0" collapsed="false">
      <c r="A371" s="13" t="n">
        <v>0.720486111111111</v>
      </c>
      <c r="B371" s="2" t="n">
        <v>-32.8166666666667</v>
      </c>
      <c r="C371" s="2" t="n">
        <v>-36.9</v>
      </c>
      <c r="D371" s="2" t="n">
        <v>349.504178767344</v>
      </c>
      <c r="E371" s="3" t="n">
        <v>3.64266666666667</v>
      </c>
      <c r="F371" s="2" t="n">
        <v>-23.6666666666667</v>
      </c>
      <c r="G371" s="1" t="n">
        <v>7915</v>
      </c>
      <c r="H371" s="1" t="n">
        <v>-6.04</v>
      </c>
      <c r="I371" s="12" t="n">
        <f aca="false">H371*3.6</f>
        <v>-21.744</v>
      </c>
      <c r="M371" s="3" t="n">
        <f aca="false">M370-0.016/40</f>
        <v>4.02840000000002</v>
      </c>
      <c r="N371" s="12" t="n">
        <f aca="false">E371*(-F371)</f>
        <v>86.209777777778</v>
      </c>
    </row>
    <row r="372" customFormat="false" ht="12.8" hidden="false" customHeight="false" outlineLevel="0" collapsed="false">
      <c r="A372" s="14" t="n">
        <v>0.720833333333333</v>
      </c>
      <c r="B372" s="2" t="n">
        <v>-31.5666666666667</v>
      </c>
      <c r="C372" s="2" t="n">
        <v>-36.9</v>
      </c>
      <c r="D372" s="2" t="n">
        <v>358.953694740239</v>
      </c>
      <c r="E372" s="3" t="n">
        <v>3.64</v>
      </c>
      <c r="F372" s="2" t="n">
        <v>-23</v>
      </c>
      <c r="G372" s="1" t="n">
        <v>7721</v>
      </c>
      <c r="H372" s="1" t="n">
        <v>-6.05</v>
      </c>
      <c r="I372" s="12" t="n">
        <f aca="false">H372*3.6</f>
        <v>-21.78</v>
      </c>
      <c r="M372" s="3" t="n">
        <f aca="false">M371-0.016/40</f>
        <v>4.02800000000002</v>
      </c>
      <c r="N372" s="12" t="n">
        <f aca="false">E372*(-F372)</f>
        <v>83.72</v>
      </c>
    </row>
    <row r="373" customFormat="false" ht="12.8" hidden="false" customHeight="false" outlineLevel="0" collapsed="false">
      <c r="A373" s="13" t="n">
        <v>0.721180555555556</v>
      </c>
      <c r="B373" s="2" t="n">
        <v>-30.3833333333333</v>
      </c>
      <c r="C373" s="2" t="n">
        <v>-36.9166666666667</v>
      </c>
      <c r="D373" s="2" t="n">
        <v>368.45117779929</v>
      </c>
      <c r="E373" s="3" t="n">
        <v>3.64</v>
      </c>
      <c r="F373" s="2" t="n">
        <v>-23.5</v>
      </c>
      <c r="G373" s="1" t="n">
        <v>7542</v>
      </c>
      <c r="H373" s="1" t="n">
        <v>-5.92</v>
      </c>
      <c r="I373" s="12" t="n">
        <f aca="false">H373*3.6</f>
        <v>-21.312</v>
      </c>
      <c r="M373" s="3" t="n">
        <f aca="false">M372-0.016/40</f>
        <v>4.02760000000002</v>
      </c>
      <c r="N373" s="12" t="n">
        <f aca="false">E373*(-F373)</f>
        <v>85.54</v>
      </c>
    </row>
    <row r="374" customFormat="false" ht="12.8" hidden="false" customHeight="false" outlineLevel="0" collapsed="false">
      <c r="A374" s="14" t="n">
        <v>0.721527777777778</v>
      </c>
      <c r="B374" s="2" t="n">
        <v>-29.3</v>
      </c>
      <c r="C374" s="2" t="n">
        <v>-36.95</v>
      </c>
      <c r="D374" s="2" t="n">
        <v>378.028606001936</v>
      </c>
      <c r="E374" s="3" t="n">
        <v>3.63866666666667</v>
      </c>
      <c r="F374" s="2" t="n">
        <v>-23.5</v>
      </c>
      <c r="G374" s="1" t="n">
        <v>7366</v>
      </c>
      <c r="H374" s="1" t="n">
        <v>-5.79</v>
      </c>
      <c r="I374" s="12" t="n">
        <f aca="false">H374*3.6</f>
        <v>-20.844</v>
      </c>
      <c r="M374" s="3" t="n">
        <f aca="false">M373-0.016/40</f>
        <v>4.02720000000002</v>
      </c>
      <c r="N374" s="12" t="n">
        <f aca="false">E374*(-F374)</f>
        <v>85.5086666666667</v>
      </c>
    </row>
    <row r="375" customFormat="false" ht="12.8" hidden="false" customHeight="false" outlineLevel="0" collapsed="false">
      <c r="A375" s="13" t="n">
        <v>0.721875</v>
      </c>
      <c r="B375" s="2" t="n">
        <v>-28.1666666666667</v>
      </c>
      <c r="C375" s="2" t="n">
        <v>-36.9</v>
      </c>
      <c r="D375" s="2" t="n">
        <v>387.558067118425</v>
      </c>
      <c r="E375" s="3" t="n">
        <v>3.638</v>
      </c>
      <c r="F375" s="2" t="n">
        <v>-23.3333333333333</v>
      </c>
      <c r="G375" s="1" t="n">
        <v>7198</v>
      </c>
      <c r="H375" s="1" t="n">
        <v>-5.65</v>
      </c>
      <c r="I375" s="12" t="n">
        <f aca="false">H375*3.6</f>
        <v>-20.34</v>
      </c>
      <c r="M375" s="3" t="n">
        <f aca="false">M374-0.016/40</f>
        <v>4.02680000000002</v>
      </c>
      <c r="N375" s="12" t="n">
        <f aca="false">E375*(-F375)</f>
        <v>84.8866666666665</v>
      </c>
    </row>
    <row r="376" customFormat="false" ht="12.8" hidden="false" customHeight="false" outlineLevel="0" collapsed="false">
      <c r="A376" s="14" t="n">
        <v>0.722222222222222</v>
      </c>
      <c r="B376" s="2" t="n">
        <v>-27.1</v>
      </c>
      <c r="C376" s="2" t="n">
        <v>-36.9</v>
      </c>
      <c r="D376" s="2" t="n">
        <v>397.087528234915</v>
      </c>
      <c r="E376" s="3" t="n">
        <v>3.636</v>
      </c>
      <c r="F376" s="2" t="n">
        <v>-24</v>
      </c>
      <c r="G376" s="1" t="n">
        <v>7035</v>
      </c>
      <c r="H376" s="1" t="n">
        <v>-5.46</v>
      </c>
      <c r="I376" s="12" t="n">
        <f aca="false">H376*3.6</f>
        <v>-19.656</v>
      </c>
      <c r="M376" s="3" t="n">
        <f aca="false">M375-0.016/40</f>
        <v>4.02640000000002</v>
      </c>
      <c r="N376" s="12" t="n">
        <f aca="false">E376*(-F376)</f>
        <v>87.264</v>
      </c>
    </row>
    <row r="377" customFormat="false" ht="12.8" hidden="false" customHeight="false" outlineLevel="0" collapsed="false">
      <c r="A377" s="13" t="n">
        <v>0.722569444444445</v>
      </c>
      <c r="B377" s="2" t="n">
        <v>-26.1</v>
      </c>
      <c r="C377" s="2" t="n">
        <v>-36.85</v>
      </c>
      <c r="D377" s="2" t="n">
        <v>406.760890609874</v>
      </c>
      <c r="E377" s="3" t="n">
        <v>3.636</v>
      </c>
      <c r="F377" s="2" t="n">
        <v>-23.1666666666667</v>
      </c>
      <c r="G377" s="1" t="n">
        <v>6868</v>
      </c>
      <c r="H377" s="1" t="n">
        <v>-5.39</v>
      </c>
      <c r="I377" s="12" t="n">
        <f aca="false">H377*3.6</f>
        <v>-19.404</v>
      </c>
      <c r="M377" s="3" t="n">
        <f aca="false">M376-0.016/40</f>
        <v>4.02600000000002</v>
      </c>
      <c r="N377" s="12" t="n">
        <f aca="false">E377*(-F377)</f>
        <v>84.2340000000001</v>
      </c>
    </row>
    <row r="378" customFormat="false" ht="12.8" hidden="false" customHeight="false" outlineLevel="0" collapsed="false">
      <c r="A378" s="14" t="n">
        <v>0.722916666666667</v>
      </c>
      <c r="B378" s="2" t="n">
        <v>-25.0333333333333</v>
      </c>
      <c r="C378" s="2" t="n">
        <v>-36.8</v>
      </c>
      <c r="D378" s="2" t="n">
        <v>416.402274927396</v>
      </c>
      <c r="E378" s="3" t="n">
        <v>3.636</v>
      </c>
      <c r="F378" s="2" t="n">
        <v>-23.1666666666667</v>
      </c>
      <c r="G378" s="1" t="n">
        <v>6703</v>
      </c>
      <c r="H378" s="1" t="n">
        <v>-5.34</v>
      </c>
      <c r="I378" s="12" t="n">
        <f aca="false">H378*3.6</f>
        <v>-19.224</v>
      </c>
      <c r="M378" s="3" t="n">
        <f aca="false">M377-0.016/40</f>
        <v>4.02560000000002</v>
      </c>
      <c r="N378" s="12" t="n">
        <f aca="false">E378*(-F378)</f>
        <v>84.2340000000001</v>
      </c>
    </row>
    <row r="379" customFormat="false" ht="12.8" hidden="false" customHeight="false" outlineLevel="0" collapsed="false">
      <c r="A379" s="13" t="n">
        <v>0.723263888888889</v>
      </c>
      <c r="B379" s="2" t="n">
        <v>-24.0166666666667</v>
      </c>
      <c r="C379" s="2" t="n">
        <v>-36.7</v>
      </c>
      <c r="D379" s="2" t="n">
        <v>425.915747015166</v>
      </c>
      <c r="E379" s="3" t="n">
        <v>3.63666666666667</v>
      </c>
      <c r="F379" s="2" t="n">
        <v>-23</v>
      </c>
      <c r="G379" s="1" t="n">
        <v>6537</v>
      </c>
      <c r="H379" s="1" t="n">
        <v>-5.18</v>
      </c>
      <c r="I379" s="12" t="n">
        <f aca="false">H379*3.6</f>
        <v>-18.648</v>
      </c>
      <c r="M379" s="3" t="n">
        <f aca="false">M378-0.016/40</f>
        <v>4.02520000000002</v>
      </c>
      <c r="N379" s="12" t="n">
        <f aca="false">E379*(-F379)</f>
        <v>83.6433333333334</v>
      </c>
    </row>
    <row r="380" customFormat="false" ht="12.8" hidden="false" customHeight="false" outlineLevel="0" collapsed="false">
      <c r="A380" s="14" t="n">
        <v>0.723611111111111</v>
      </c>
      <c r="B380" s="2" t="n">
        <v>-22.95</v>
      </c>
      <c r="C380" s="2" t="n">
        <v>-36.6166666666667</v>
      </c>
      <c r="D380" s="2" t="n">
        <v>435.493175217812</v>
      </c>
      <c r="E380" s="3" t="n">
        <v>3.63666666666667</v>
      </c>
      <c r="F380" s="2" t="n">
        <v>-23.3333333333333</v>
      </c>
      <c r="G380" s="1" t="n">
        <v>6383</v>
      </c>
      <c r="H380" s="1" t="n">
        <v>-5.17</v>
      </c>
      <c r="I380" s="12" t="n">
        <f aca="false">H380*3.6</f>
        <v>-18.612</v>
      </c>
      <c r="M380" s="3" t="n">
        <f aca="false">M379-0.016/40</f>
        <v>4.02480000000002</v>
      </c>
      <c r="N380" s="12" t="n">
        <f aca="false">E380*(-F380)</f>
        <v>84.8555555555555</v>
      </c>
    </row>
    <row r="381" customFormat="false" ht="12.8" hidden="false" customHeight="false" outlineLevel="0" collapsed="false">
      <c r="A381" s="13" t="n">
        <v>0.723958333333333</v>
      </c>
      <c r="B381" s="2" t="n">
        <v>-21.8333333333333</v>
      </c>
      <c r="C381" s="2" t="n">
        <v>-36.5166666666667</v>
      </c>
      <c r="D381" s="2" t="n">
        <v>445.070603420458</v>
      </c>
      <c r="E381" s="3" t="n">
        <v>3.63866666666667</v>
      </c>
      <c r="F381" s="2" t="n">
        <v>-23.3333333333333</v>
      </c>
      <c r="G381" s="1" t="n">
        <v>6225</v>
      </c>
      <c r="H381" s="1" t="n">
        <v>-5.03</v>
      </c>
      <c r="I381" s="12" t="n">
        <f aca="false">H381*3.6</f>
        <v>-18.108</v>
      </c>
      <c r="M381" s="3" t="n">
        <f aca="false">M380-0.016/40</f>
        <v>4.02440000000002</v>
      </c>
      <c r="N381" s="12" t="n">
        <f aca="false">E381*(-F381)</f>
        <v>84.9022222222222</v>
      </c>
    </row>
    <row r="382" customFormat="false" ht="12.8" hidden="false" customHeight="false" outlineLevel="0" collapsed="false">
      <c r="A382" s="14" t="n">
        <v>0.724305555555556</v>
      </c>
      <c r="B382" s="2" t="n">
        <v>-20.7</v>
      </c>
      <c r="C382" s="2" t="n">
        <v>-36.3666666666667</v>
      </c>
      <c r="D382" s="2" t="n">
        <v>454.600064536947</v>
      </c>
      <c r="E382" s="3" t="n">
        <v>3.64</v>
      </c>
      <c r="F382" s="2" t="n">
        <v>-23</v>
      </c>
      <c r="G382" s="1" t="n">
        <v>6076</v>
      </c>
      <c r="H382" s="1" t="n">
        <v>-5.04</v>
      </c>
      <c r="I382" s="12" t="n">
        <f aca="false">H382*3.6</f>
        <v>-18.144</v>
      </c>
      <c r="M382" s="3" t="n">
        <f aca="false">M381-0.016/40</f>
        <v>4.02400000000002</v>
      </c>
      <c r="N382" s="12" t="n">
        <f aca="false">E382*(-F382)</f>
        <v>83.72</v>
      </c>
    </row>
    <row r="383" customFormat="false" ht="12.8" hidden="false" customHeight="false" outlineLevel="0" collapsed="false">
      <c r="A383" s="13" t="n">
        <v>0.724652777777778</v>
      </c>
      <c r="B383" s="2" t="n">
        <v>-19.45</v>
      </c>
      <c r="C383" s="2" t="n">
        <v>-36.25</v>
      </c>
      <c r="D383" s="2" t="n">
        <v>464.22545982575</v>
      </c>
      <c r="E383" s="3" t="n">
        <v>3.64333333333333</v>
      </c>
      <c r="F383" s="2" t="n">
        <v>-23.8333333333333</v>
      </c>
      <c r="G383" s="1" t="n">
        <v>5918</v>
      </c>
      <c r="H383" s="1" t="n">
        <v>-4.93</v>
      </c>
      <c r="I383" s="12" t="n">
        <f aca="false">H383*3.6</f>
        <v>-17.748</v>
      </c>
      <c r="M383" s="3" t="n">
        <f aca="false">M382-0.016/40</f>
        <v>4.02360000000002</v>
      </c>
      <c r="N383" s="12" t="n">
        <f aca="false">E383*(-F383)</f>
        <v>86.8327777777776</v>
      </c>
    </row>
    <row r="384" customFormat="false" ht="12.8" hidden="false" customHeight="false" outlineLevel="0" collapsed="false">
      <c r="A384" s="14" t="n">
        <v>0.725</v>
      </c>
      <c r="B384" s="2" t="n">
        <v>-18.3</v>
      </c>
      <c r="C384" s="2" t="n">
        <v>-36.0666666666667</v>
      </c>
      <c r="D384" s="2" t="n">
        <v>473.882833171991</v>
      </c>
      <c r="E384" s="3" t="n">
        <v>3.644</v>
      </c>
      <c r="F384" s="2" t="n">
        <v>-24</v>
      </c>
      <c r="G384" s="1" t="n">
        <v>5759</v>
      </c>
      <c r="H384" s="1" t="n">
        <v>-4.94</v>
      </c>
      <c r="I384" s="12" t="n">
        <f aca="false">H384*3.6</f>
        <v>-17.784</v>
      </c>
      <c r="M384" s="3" t="n">
        <f aca="false">M383-0.016/40</f>
        <v>4.02320000000002</v>
      </c>
      <c r="N384" s="12" t="n">
        <f aca="false">E384*(-F384)</f>
        <v>87.456</v>
      </c>
    </row>
    <row r="385" customFormat="false" ht="12.8" hidden="false" customHeight="false" outlineLevel="0" collapsed="false">
      <c r="A385" s="13" t="n">
        <v>0.725347222222222</v>
      </c>
      <c r="B385" s="2" t="n">
        <v>-17.35</v>
      </c>
      <c r="C385" s="2" t="n">
        <v>-35.9</v>
      </c>
      <c r="D385" s="2" t="n">
        <v>483.57218457567</v>
      </c>
      <c r="E385" s="3" t="n">
        <v>3.64733333333333</v>
      </c>
      <c r="F385" s="2" t="n">
        <v>-25.3333333333333</v>
      </c>
      <c r="G385" s="1" t="n">
        <v>5620</v>
      </c>
      <c r="H385" s="1" t="n">
        <v>-4.56</v>
      </c>
      <c r="I385" s="12" t="n">
        <f aca="false">H385*3.6</f>
        <v>-16.416</v>
      </c>
      <c r="M385" s="3" t="n">
        <f aca="false">M384-0.016/40</f>
        <v>4.02280000000002</v>
      </c>
      <c r="N385" s="12" t="n">
        <f aca="false">E385*(-F385)</f>
        <v>92.3991111111109</v>
      </c>
    </row>
    <row r="386" customFormat="false" ht="12.8" hidden="false" customHeight="false" outlineLevel="0" collapsed="false">
      <c r="A386" s="14" t="n">
        <v>0.725694444444444</v>
      </c>
      <c r="B386" s="2" t="n">
        <v>-16.2166666666667</v>
      </c>
      <c r="C386" s="2" t="n">
        <v>-35.7166666666667</v>
      </c>
      <c r="D386" s="2" t="n">
        <v>493.197579864472</v>
      </c>
      <c r="E386" s="3" t="n">
        <v>3.64866666666667</v>
      </c>
      <c r="F386" s="2" t="n">
        <v>-25.8333333333333</v>
      </c>
      <c r="G386" s="1" t="n">
        <v>5481</v>
      </c>
      <c r="H386" s="1" t="n">
        <v>-4.78</v>
      </c>
      <c r="I386" s="12" t="n">
        <f aca="false">H386*3.6</f>
        <v>-17.208</v>
      </c>
      <c r="M386" s="3" t="n">
        <f aca="false">M385-0.016/40</f>
        <v>4.02240000000002</v>
      </c>
      <c r="N386" s="12" t="n">
        <f aca="false">E386*(-F386)</f>
        <v>94.2572222222222</v>
      </c>
    </row>
    <row r="387" customFormat="false" ht="12.8" hidden="false" customHeight="false" outlineLevel="0" collapsed="false">
      <c r="A387" s="13" t="n">
        <v>0.726041666666667</v>
      </c>
      <c r="B387" s="2" t="n">
        <v>-15.25</v>
      </c>
      <c r="C387" s="2" t="n">
        <v>-35.5166666666667</v>
      </c>
      <c r="D387" s="2" t="n">
        <v>503.04682155534</v>
      </c>
      <c r="E387" s="3" t="n">
        <v>3.652</v>
      </c>
      <c r="F387" s="2" t="n">
        <v>-23.3333333333333</v>
      </c>
      <c r="G387" s="1" t="n">
        <v>5338</v>
      </c>
      <c r="H387" s="1" t="n">
        <v>-4.59</v>
      </c>
      <c r="I387" s="12" t="n">
        <f aca="false">H387*3.6</f>
        <v>-16.524</v>
      </c>
      <c r="M387" s="3" t="n">
        <f aca="false">M386-0.016/40</f>
        <v>4.02200000000002</v>
      </c>
      <c r="N387" s="12" t="n">
        <f aca="false">E387*(-F387)</f>
        <v>85.2133333333332</v>
      </c>
    </row>
    <row r="388" customFormat="false" ht="12.8" hidden="false" customHeight="false" outlineLevel="0" collapsed="false">
      <c r="A388" s="14" t="n">
        <v>0.726388888888889</v>
      </c>
      <c r="B388" s="2" t="n">
        <v>-14.35</v>
      </c>
      <c r="C388" s="2" t="n">
        <v>-35.2833333333333</v>
      </c>
      <c r="D388" s="2" t="n">
        <v>512.336447241046</v>
      </c>
      <c r="E388" s="3" t="n">
        <v>3.652</v>
      </c>
      <c r="F388" s="2" t="n">
        <v>-23.3333333333333</v>
      </c>
      <c r="G388" s="1" t="n">
        <v>5202</v>
      </c>
      <c r="H388" s="1" t="n">
        <v>-4.51</v>
      </c>
      <c r="I388" s="12" t="n">
        <f aca="false">H388*3.6</f>
        <v>-16.236</v>
      </c>
      <c r="M388" s="3" t="n">
        <f aca="false">M387-0.016/40</f>
        <v>4.02160000000002</v>
      </c>
      <c r="N388" s="12" t="n">
        <f aca="false">E388*(-F388)</f>
        <v>85.2133333333332</v>
      </c>
    </row>
    <row r="389" customFormat="false" ht="12.8" hidden="false" customHeight="false" outlineLevel="0" collapsed="false">
      <c r="A389" s="13" t="n">
        <v>0.726736111111111</v>
      </c>
      <c r="B389" s="2" t="n">
        <v>-13.55</v>
      </c>
      <c r="C389" s="2" t="n">
        <v>-35.0666666666667</v>
      </c>
      <c r="D389" s="2" t="n">
        <v>521.977831558567</v>
      </c>
      <c r="E389" s="3" t="n">
        <v>3.658</v>
      </c>
      <c r="F389" s="2" t="n">
        <v>-23.8333333333333</v>
      </c>
      <c r="G389" s="1" t="n">
        <v>5054</v>
      </c>
      <c r="H389" s="1" t="n">
        <v>-4.6</v>
      </c>
      <c r="I389" s="12" t="n">
        <f aca="false">H389*3.6</f>
        <v>-16.56</v>
      </c>
      <c r="M389" s="3" t="n">
        <f aca="false">M388-0.016/40</f>
        <v>4.02120000000002</v>
      </c>
      <c r="N389" s="12" t="n">
        <f aca="false">E389*(-F389)</f>
        <v>87.1823333333332</v>
      </c>
    </row>
    <row r="390" customFormat="false" ht="12.8" hidden="false" customHeight="false" outlineLevel="0" collapsed="false">
      <c r="A390" s="14" t="n">
        <v>0.727083333333333</v>
      </c>
      <c r="B390" s="2" t="n">
        <v>-12.9833333333333</v>
      </c>
      <c r="C390" s="2" t="n">
        <v>-34.8166666666667</v>
      </c>
      <c r="D390" s="2" t="n">
        <v>531.699161019684</v>
      </c>
      <c r="E390" s="3" t="n">
        <v>3.662</v>
      </c>
      <c r="F390" s="2" t="n">
        <v>-25.3333333333333</v>
      </c>
      <c r="G390" s="1" t="n">
        <v>4909</v>
      </c>
      <c r="H390" s="1" t="n">
        <v>-4.53</v>
      </c>
      <c r="I390" s="12" t="n">
        <f aca="false">H390*3.6</f>
        <v>-16.308</v>
      </c>
      <c r="M390" s="3" t="n">
        <f aca="false">M389-0.016/40</f>
        <v>4.02080000000002</v>
      </c>
      <c r="N390" s="12" t="n">
        <f aca="false">E390*(-F390)</f>
        <v>92.7706666666665</v>
      </c>
    </row>
    <row r="391" customFormat="false" ht="12.8" hidden="false" customHeight="false" outlineLevel="0" collapsed="false">
      <c r="A391" s="13" t="n">
        <v>0.727430555555556</v>
      </c>
      <c r="B391" s="2" t="n">
        <v>-12.25</v>
      </c>
      <c r="C391" s="2" t="n">
        <v>-34.55</v>
      </c>
      <c r="D391" s="2" t="n">
        <v>541.388512423362</v>
      </c>
      <c r="E391" s="3" t="n">
        <v>3.664</v>
      </c>
      <c r="F391" s="2" t="n">
        <v>-23.3333333333333</v>
      </c>
      <c r="G391" s="1" t="n">
        <v>4779</v>
      </c>
      <c r="H391" s="1" t="n">
        <v>-4.18</v>
      </c>
      <c r="I391" s="12" t="n">
        <f aca="false">H391*3.6</f>
        <v>-15.048</v>
      </c>
      <c r="M391" s="3" t="n">
        <f aca="false">M390-0.016/40</f>
        <v>4.02040000000002</v>
      </c>
      <c r="N391" s="12" t="n">
        <f aca="false">E391*(-F391)</f>
        <v>85.4933333333332</v>
      </c>
    </row>
    <row r="392" customFormat="false" ht="12.8" hidden="false" customHeight="false" outlineLevel="0" collapsed="false">
      <c r="A392" s="14" t="n">
        <v>0.727777777777778</v>
      </c>
      <c r="B392" s="2" t="n">
        <v>-11.4666666666667</v>
      </c>
      <c r="C392" s="2" t="n">
        <v>-34.2833333333333</v>
      </c>
      <c r="D392" s="2" t="n">
        <v>551.429622458858</v>
      </c>
      <c r="E392" s="3" t="n">
        <v>3.66666666666667</v>
      </c>
      <c r="F392" s="2" t="n">
        <v>-23.6666666666667</v>
      </c>
      <c r="G392" s="1" t="n">
        <v>4653</v>
      </c>
      <c r="H392" s="1" t="n">
        <v>-4.15</v>
      </c>
      <c r="I392" s="12" t="n">
        <f aca="false">H392*3.6</f>
        <v>-14.94</v>
      </c>
      <c r="M392" s="3" t="n">
        <f aca="false">M391-0.016/40</f>
        <v>4.02000000000002</v>
      </c>
      <c r="N392" s="12" t="n">
        <f aca="false">E392*(-F392)</f>
        <v>86.777777777778</v>
      </c>
    </row>
    <row r="393" customFormat="false" ht="12.8" hidden="false" customHeight="false" outlineLevel="0" collapsed="false">
      <c r="A393" s="13" t="n">
        <v>0.728125</v>
      </c>
      <c r="B393" s="2" t="n">
        <v>-10.6166666666667</v>
      </c>
      <c r="C393" s="2" t="n">
        <v>-34</v>
      </c>
      <c r="D393" s="2" t="n">
        <v>561.470732494353</v>
      </c>
      <c r="E393" s="3" t="n">
        <v>3.674</v>
      </c>
      <c r="F393" s="2" t="n">
        <v>-25.6666666666667</v>
      </c>
      <c r="G393" s="1" t="n">
        <v>4538</v>
      </c>
      <c r="H393" s="1" t="n">
        <v>-3.82</v>
      </c>
      <c r="I393" s="12" t="n">
        <f aca="false">H393*3.6</f>
        <v>-13.752</v>
      </c>
      <c r="M393" s="3" t="n">
        <f aca="false">M392-0.016/40</f>
        <v>4.01960000000002</v>
      </c>
      <c r="N393" s="12" t="n">
        <f aca="false">E393*(-F393)</f>
        <v>94.2993333333335</v>
      </c>
    </row>
    <row r="394" customFormat="false" ht="12.8" hidden="false" customHeight="false" outlineLevel="0" collapsed="false">
      <c r="A394" s="14" t="n">
        <v>0.728472222222222</v>
      </c>
      <c r="B394" s="2" t="n">
        <v>-9.7</v>
      </c>
      <c r="C394" s="2" t="n">
        <v>-33.7</v>
      </c>
      <c r="D394" s="2" t="n">
        <v>570.792336237496</v>
      </c>
      <c r="E394" s="3" t="n">
        <v>3.676</v>
      </c>
      <c r="F394" s="2" t="n">
        <v>-23.3333333333333</v>
      </c>
      <c r="G394" s="1" t="n">
        <v>4423</v>
      </c>
      <c r="H394" s="1" t="n">
        <v>-3.8</v>
      </c>
      <c r="I394" s="12" t="n">
        <f aca="false">H394*3.6</f>
        <v>-13.68</v>
      </c>
      <c r="M394" s="3" t="n">
        <f aca="false">M393-0.016/40</f>
        <v>4.01920000000002</v>
      </c>
      <c r="N394" s="12" t="n">
        <f aca="false">E394*(-F394)</f>
        <v>85.7733333333332</v>
      </c>
    </row>
    <row r="395" customFormat="false" ht="12.8" hidden="false" customHeight="false" outlineLevel="0" collapsed="false">
      <c r="A395" s="13" t="n">
        <v>0.728819444444445</v>
      </c>
      <c r="B395" s="2" t="n">
        <v>-8.83333333333333</v>
      </c>
      <c r="C395" s="2" t="n">
        <v>-33.4</v>
      </c>
      <c r="D395" s="2" t="n">
        <v>580.002016779606</v>
      </c>
      <c r="E395" s="3" t="n">
        <v>3.682</v>
      </c>
      <c r="F395" s="2" t="n">
        <v>-24.8333333333333</v>
      </c>
      <c r="G395" s="1" t="n">
        <v>4310</v>
      </c>
      <c r="H395" s="1" t="n">
        <v>-3.56</v>
      </c>
      <c r="I395" s="12" t="n">
        <f aca="false">H395*3.6</f>
        <v>-12.816</v>
      </c>
      <c r="M395" s="3" t="n">
        <f aca="false">M394-0.016/40</f>
        <v>4.01880000000002</v>
      </c>
      <c r="N395" s="12" t="n">
        <f aca="false">E395*(-F395)</f>
        <v>91.4363333333332</v>
      </c>
    </row>
    <row r="396" customFormat="false" ht="12.8" hidden="false" customHeight="false" outlineLevel="0" collapsed="false">
      <c r="A396" s="14" t="n">
        <v>0.729166666666667</v>
      </c>
      <c r="B396" s="2" t="n">
        <v>-8.01666666666667</v>
      </c>
      <c r="C396" s="2" t="n">
        <v>-33.1</v>
      </c>
      <c r="D396" s="2" t="n">
        <v>588.684059373992</v>
      </c>
      <c r="E396" s="3" t="n">
        <v>3.68533333333333</v>
      </c>
      <c r="F396" s="2" t="n">
        <v>-24</v>
      </c>
      <c r="G396" s="1" t="n">
        <v>4201</v>
      </c>
      <c r="H396" s="1" t="n">
        <v>-3.25</v>
      </c>
      <c r="I396" s="12" t="n">
        <f aca="false">H396*3.6</f>
        <v>-11.7</v>
      </c>
      <c r="M396" s="3" t="n">
        <f aca="false">M395-0.016/40</f>
        <v>4.01840000000002</v>
      </c>
      <c r="N396" s="12" t="n">
        <f aca="false">E396*(-F396)</f>
        <v>88.4479999999999</v>
      </c>
    </row>
    <row r="397" customFormat="false" ht="12.8" hidden="false" customHeight="false" outlineLevel="0" collapsed="false">
      <c r="A397" s="13" t="n">
        <v>0.729513888888889</v>
      </c>
      <c r="B397" s="2" t="n">
        <v>-7.25</v>
      </c>
      <c r="C397" s="2" t="n">
        <v>-32.8</v>
      </c>
      <c r="D397" s="2" t="n">
        <v>597.286156824782</v>
      </c>
      <c r="E397" s="3" t="n">
        <v>3.692</v>
      </c>
      <c r="F397" s="2" t="n">
        <v>-24.8333333333333</v>
      </c>
      <c r="G397" s="1" t="n">
        <v>4103</v>
      </c>
      <c r="H397" s="1" t="n">
        <v>-3.3</v>
      </c>
      <c r="I397" s="12" t="n">
        <f aca="false">H397*3.6</f>
        <v>-11.88</v>
      </c>
      <c r="M397" s="3" t="n">
        <f aca="false">M396-0.016/40</f>
        <v>4.01800000000002</v>
      </c>
      <c r="N397" s="12" t="n">
        <f aca="false">E397*(-F397)</f>
        <v>91.6846666666665</v>
      </c>
    </row>
    <row r="398" customFormat="false" ht="12.8" hidden="false" customHeight="false" outlineLevel="0" collapsed="false">
      <c r="A398" s="14" t="n">
        <v>0.729861111111111</v>
      </c>
      <c r="B398" s="2" t="n">
        <v>-6.51666666666667</v>
      </c>
      <c r="C398" s="2" t="n">
        <v>-32.45</v>
      </c>
      <c r="D398" s="2" t="n">
        <v>605.552484672475</v>
      </c>
      <c r="E398" s="3" t="n">
        <v>3.69666666666667</v>
      </c>
      <c r="F398" s="2" t="n">
        <v>-23.5</v>
      </c>
      <c r="G398" s="1" t="n">
        <v>4007</v>
      </c>
      <c r="H398" s="1" t="n">
        <v>-3.29</v>
      </c>
      <c r="I398" s="12" t="n">
        <f aca="false">H398*3.6</f>
        <v>-11.844</v>
      </c>
      <c r="M398" s="3" t="n">
        <f aca="false">M397-0.016/40</f>
        <v>4.01760000000002</v>
      </c>
      <c r="N398" s="12" t="n">
        <f aca="false">E398*(-F398)</f>
        <v>86.8716666666667</v>
      </c>
    </row>
    <row r="399" customFormat="false" ht="12.8" hidden="false" customHeight="false" outlineLevel="0" collapsed="false">
      <c r="A399" s="13" t="n">
        <v>0.730208333333333</v>
      </c>
      <c r="B399" s="2" t="n">
        <v>-5.85</v>
      </c>
      <c r="C399" s="2" t="n">
        <v>-32.1166666666667</v>
      </c>
      <c r="D399" s="2" t="n">
        <v>613.515020974508</v>
      </c>
      <c r="E399" s="3" t="n">
        <v>3.702</v>
      </c>
      <c r="F399" s="2" t="n">
        <v>-25</v>
      </c>
      <c r="G399" s="1" t="n">
        <v>3910</v>
      </c>
      <c r="H399" s="1" t="n">
        <v>-3.25</v>
      </c>
      <c r="I399" s="12" t="n">
        <f aca="false">H399*3.6</f>
        <v>-11.7</v>
      </c>
      <c r="M399" s="3" t="n">
        <f aca="false">M398-0.016/40</f>
        <v>4.01720000000002</v>
      </c>
      <c r="N399" s="12" t="n">
        <f aca="false">E399*(-F399)</f>
        <v>92.55</v>
      </c>
    </row>
    <row r="400" customFormat="false" ht="12.8" hidden="false" customHeight="false" outlineLevel="0" collapsed="false">
      <c r="A400" s="14" t="n">
        <v>0.730555555555556</v>
      </c>
      <c r="B400" s="2" t="n">
        <v>-5.26666666666667</v>
      </c>
      <c r="C400" s="2" t="n">
        <v>-31.7666666666667</v>
      </c>
      <c r="D400" s="2" t="n">
        <v>621.285688931914</v>
      </c>
      <c r="E400" s="3" t="n">
        <v>3.706</v>
      </c>
      <c r="F400" s="2" t="n">
        <v>-24</v>
      </c>
      <c r="G400" s="1" t="n">
        <v>3813</v>
      </c>
      <c r="H400" s="1" t="n">
        <v>-3.23</v>
      </c>
      <c r="I400" s="12" t="n">
        <f aca="false">H400*3.6</f>
        <v>-11.628</v>
      </c>
      <c r="M400" s="3" t="n">
        <f aca="false">M399-0.016/40</f>
        <v>4.01680000000002</v>
      </c>
      <c r="N400" s="12" t="n">
        <f aca="false">E400*(-F400)</f>
        <v>88.944</v>
      </c>
    </row>
    <row r="401" customFormat="false" ht="12.8" hidden="false" customHeight="false" outlineLevel="0" collapsed="false">
      <c r="A401" s="13" t="n">
        <v>0.730902777777778</v>
      </c>
      <c r="B401" s="2" t="n">
        <v>-4.8</v>
      </c>
      <c r="C401" s="2" t="n">
        <v>-31.3833333333333</v>
      </c>
      <c r="D401" s="2" t="n">
        <v>629.056356889319</v>
      </c>
      <c r="E401" s="3" t="n">
        <v>3.71133333333333</v>
      </c>
      <c r="F401" s="2" t="n">
        <v>-24.8333333333333</v>
      </c>
      <c r="G401" s="1" t="n">
        <v>3714</v>
      </c>
      <c r="H401" s="1" t="n">
        <v>-3.39</v>
      </c>
      <c r="I401" s="12" t="n">
        <f aca="false">H401*3.6</f>
        <v>-12.204</v>
      </c>
      <c r="M401" s="3" t="n">
        <f aca="false">M400-0.016/40</f>
        <v>4.01640000000002</v>
      </c>
      <c r="N401" s="12" t="n">
        <f aca="false">E401*(-F401)</f>
        <v>92.1647777777776</v>
      </c>
    </row>
    <row r="402" customFormat="false" ht="12.8" hidden="false" customHeight="false" outlineLevel="0" collapsed="false">
      <c r="A402" s="14" t="n">
        <v>0.73125</v>
      </c>
      <c r="B402" s="2" t="n">
        <v>-4.33333333333333</v>
      </c>
      <c r="C402" s="2" t="n">
        <v>-31.0333333333333</v>
      </c>
      <c r="D402" s="2" t="n">
        <v>636.811035818006</v>
      </c>
      <c r="E402" s="3" t="n">
        <v>3.71666666666667</v>
      </c>
      <c r="F402" s="2" t="n">
        <v>-24.8333333333333</v>
      </c>
      <c r="G402" s="1" t="n">
        <v>3615</v>
      </c>
      <c r="H402" s="1" t="n">
        <v>-3.47</v>
      </c>
      <c r="I402" s="12" t="n">
        <f aca="false">H402*3.6</f>
        <v>-12.492</v>
      </c>
      <c r="M402" s="3" t="n">
        <f aca="false">M401-0.016/40</f>
        <v>4.01600000000002</v>
      </c>
      <c r="N402" s="12" t="n">
        <f aca="false">E402*(-F402)</f>
        <v>92.2972222222222</v>
      </c>
    </row>
    <row r="403" customFormat="false" ht="12.8" hidden="false" customHeight="false" outlineLevel="0" collapsed="false">
      <c r="A403" s="13" t="n">
        <v>0.731597222222222</v>
      </c>
      <c r="B403" s="2" t="n">
        <v>-3.85</v>
      </c>
      <c r="C403" s="2" t="n">
        <v>-30.6666666666667</v>
      </c>
      <c r="D403" s="2" t="n">
        <v>644.661648919006</v>
      </c>
      <c r="E403" s="3" t="n">
        <v>3.72266666666667</v>
      </c>
      <c r="F403" s="2" t="n">
        <v>-25</v>
      </c>
      <c r="G403" s="1" t="n">
        <v>3505</v>
      </c>
      <c r="H403" s="1" t="n">
        <v>-3.5</v>
      </c>
      <c r="I403" s="12" t="n">
        <f aca="false">H403*3.6</f>
        <v>-12.6</v>
      </c>
      <c r="M403" s="3" t="n">
        <f aca="false">M402-0.016/40</f>
        <v>4.01560000000002</v>
      </c>
      <c r="N403" s="12" t="n">
        <f aca="false">E403*(-F403)</f>
        <v>93.0666666666668</v>
      </c>
    </row>
    <row r="404" customFormat="false" ht="12.8" hidden="false" customHeight="false" outlineLevel="0" collapsed="false">
      <c r="A404" s="14" t="n">
        <v>0.731944444444445</v>
      </c>
      <c r="B404" s="2" t="n">
        <v>-3.23333333333333</v>
      </c>
      <c r="C404" s="2" t="n">
        <v>-30.2833333333333</v>
      </c>
      <c r="D404" s="2" t="n">
        <v>652.784075508229</v>
      </c>
      <c r="E404" s="3" t="n">
        <v>3.726</v>
      </c>
      <c r="F404" s="2" t="n">
        <v>-23.8333333333333</v>
      </c>
      <c r="G404" s="1" t="n">
        <v>3395</v>
      </c>
      <c r="H404" s="1" t="n">
        <v>-3.47</v>
      </c>
      <c r="I404" s="12" t="n">
        <f aca="false">H404*3.6</f>
        <v>-12.492</v>
      </c>
      <c r="M404" s="3" t="n">
        <f aca="false">M403-0.016/40</f>
        <v>4.01520000000002</v>
      </c>
      <c r="N404" s="12" t="n">
        <f aca="false">E404*(-F404)</f>
        <v>88.8029999999999</v>
      </c>
    </row>
    <row r="405" customFormat="false" ht="12.8" hidden="false" customHeight="false" outlineLevel="0" collapsed="false">
      <c r="A405" s="13" t="n">
        <v>0.732291666666667</v>
      </c>
      <c r="B405" s="2" t="n">
        <v>-2.53333333333333</v>
      </c>
      <c r="C405" s="2" t="n">
        <v>-29.8833333333333</v>
      </c>
      <c r="D405" s="2" t="n">
        <v>661.242271700549</v>
      </c>
      <c r="E405" s="3" t="n">
        <v>3.73266666666667</v>
      </c>
      <c r="F405" s="2" t="n">
        <v>-24.1666666666667</v>
      </c>
      <c r="G405" s="1" t="n">
        <v>3291</v>
      </c>
      <c r="H405" s="1" t="n">
        <v>-3.58</v>
      </c>
      <c r="I405" s="12" t="n">
        <f aca="false">H405*3.6</f>
        <v>-12.888</v>
      </c>
      <c r="M405" s="3" t="n">
        <f aca="false">M404-0.016/40</f>
        <v>4.01480000000002</v>
      </c>
      <c r="N405" s="12" t="n">
        <f aca="false">E405*(-F405)</f>
        <v>90.2061111111113</v>
      </c>
    </row>
    <row r="406" customFormat="false" ht="12.8" hidden="false" customHeight="false" outlineLevel="0" collapsed="false">
      <c r="A406" s="14" t="n">
        <v>0.732638888888889</v>
      </c>
      <c r="B406" s="2" t="n">
        <v>-1.93333333333333</v>
      </c>
      <c r="C406" s="2" t="n">
        <v>-29.5</v>
      </c>
      <c r="D406" s="2" t="n">
        <v>669.940303323653</v>
      </c>
      <c r="E406" s="3" t="n">
        <v>3.73733333333333</v>
      </c>
      <c r="F406" s="2" t="n">
        <v>-24.1666666666667</v>
      </c>
      <c r="G406" s="1" t="n">
        <v>3186</v>
      </c>
      <c r="H406" s="1" t="n">
        <v>-3.61</v>
      </c>
      <c r="I406" s="12" t="n">
        <f aca="false">H406*3.6</f>
        <v>-12.996</v>
      </c>
      <c r="M406" s="3" t="n">
        <f aca="false">M405-0.016/40</f>
        <v>4.01440000000002</v>
      </c>
      <c r="N406" s="12" t="n">
        <f aca="false">E406*(-F406)</f>
        <v>90.3188888888889</v>
      </c>
    </row>
    <row r="407" customFormat="false" ht="12.8" hidden="false" customHeight="false" outlineLevel="0" collapsed="false">
      <c r="A407" s="13" t="n">
        <v>0.732986111111111</v>
      </c>
      <c r="B407" s="2" t="n">
        <v>-1.21666666666667</v>
      </c>
      <c r="C407" s="2" t="n">
        <v>-29.1</v>
      </c>
      <c r="D407" s="2" t="n">
        <v>678.75025814779</v>
      </c>
      <c r="E407" s="3" t="n">
        <v>3.744</v>
      </c>
      <c r="F407" s="2" t="n">
        <v>-24.1666666666667</v>
      </c>
      <c r="G407" s="1" t="n">
        <v>3084</v>
      </c>
      <c r="H407" s="1" t="n">
        <v>-3.53</v>
      </c>
      <c r="I407" s="12" t="n">
        <f aca="false">H407*3.6</f>
        <v>-12.708</v>
      </c>
      <c r="M407" s="3" t="n">
        <f aca="false">M406-0.016/40</f>
        <v>4.01400000000002</v>
      </c>
      <c r="N407" s="12" t="n">
        <f aca="false">E407*(-F407)</f>
        <v>90.4800000000001</v>
      </c>
    </row>
    <row r="408" customFormat="false" ht="12.8" hidden="false" customHeight="false" outlineLevel="0" collapsed="false">
      <c r="A408" s="14" t="n">
        <v>0.733333333333333</v>
      </c>
      <c r="B408" s="2" t="n">
        <v>-0.616666666666667</v>
      </c>
      <c r="C408" s="2" t="n">
        <v>-28.7</v>
      </c>
      <c r="D408" s="2" t="n">
        <v>687.672136172959</v>
      </c>
      <c r="E408" s="3" t="n">
        <v>3.74933333333333</v>
      </c>
      <c r="F408" s="2" t="n">
        <v>-24.1666666666667</v>
      </c>
      <c r="G408" s="1" t="n">
        <v>2972</v>
      </c>
      <c r="H408" s="1" t="n">
        <v>-3.49</v>
      </c>
      <c r="I408" s="12" t="n">
        <f aca="false">H408*3.6</f>
        <v>-12.564</v>
      </c>
      <c r="M408" s="3" t="n">
        <f aca="false">M407-0.016/40</f>
        <v>4.01360000000002</v>
      </c>
      <c r="N408" s="12" t="n">
        <f aca="false">E408*(-F408)</f>
        <v>90.6088888888889</v>
      </c>
    </row>
    <row r="409" customFormat="false" ht="12.8" hidden="false" customHeight="false" outlineLevel="0" collapsed="false">
      <c r="A409" s="13" t="n">
        <v>0.733680555555556</v>
      </c>
      <c r="B409" s="2" t="n">
        <v>0.0333333333333333</v>
      </c>
      <c r="C409" s="2" t="n">
        <v>-28.3</v>
      </c>
      <c r="D409" s="2" t="n">
        <v>696.72192642788</v>
      </c>
      <c r="E409" s="3" t="n">
        <v>3.75333333333333</v>
      </c>
      <c r="F409" s="2" t="n">
        <v>-24.5</v>
      </c>
      <c r="G409" s="1" t="n">
        <v>2865</v>
      </c>
      <c r="H409" s="1" t="n">
        <v>-3.53</v>
      </c>
      <c r="I409" s="12" t="n">
        <f aca="false">H409*3.6</f>
        <v>-12.708</v>
      </c>
      <c r="M409" s="3" t="n">
        <f aca="false">M408-0.016/40</f>
        <v>4.01320000000002</v>
      </c>
      <c r="N409" s="12" t="n">
        <f aca="false">E409*(-F409)</f>
        <v>91.9566666666666</v>
      </c>
    </row>
    <row r="410" customFormat="false" ht="12.8" hidden="false" customHeight="false" outlineLevel="0" collapsed="false">
      <c r="A410" s="14" t="n">
        <v>0.734027777777778</v>
      </c>
      <c r="B410" s="2" t="n">
        <v>0.7</v>
      </c>
      <c r="C410" s="2" t="n">
        <v>-27.8666666666667</v>
      </c>
      <c r="D410" s="2" t="n">
        <v>705.819683768958</v>
      </c>
      <c r="E410" s="3" t="n">
        <v>3.75866666666667</v>
      </c>
      <c r="F410" s="2" t="n">
        <v>-25.1666666666667</v>
      </c>
      <c r="G410" s="1" t="n">
        <v>2762</v>
      </c>
      <c r="H410" s="1" t="n">
        <v>-3.61</v>
      </c>
      <c r="I410" s="12" t="n">
        <f aca="false">H410*3.6</f>
        <v>-12.996</v>
      </c>
      <c r="M410" s="3" t="n">
        <f aca="false">M409-0.016/40</f>
        <v>4.01280000000002</v>
      </c>
      <c r="N410" s="12" t="n">
        <f aca="false">E410*(-F410)</f>
        <v>94.5931111111113</v>
      </c>
    </row>
    <row r="411" customFormat="false" ht="12.8" hidden="false" customHeight="false" outlineLevel="0" collapsed="false">
      <c r="A411" s="13" t="n">
        <v>0.734375</v>
      </c>
      <c r="B411" s="2" t="n">
        <v>1.45</v>
      </c>
      <c r="C411" s="2" t="n">
        <v>-27.4333333333333</v>
      </c>
      <c r="D411" s="2" t="n">
        <v>714.933430138754</v>
      </c>
      <c r="E411" s="3" t="n">
        <v>3.76533333333333</v>
      </c>
      <c r="F411" s="2" t="n">
        <v>-24.3333333333333</v>
      </c>
      <c r="G411" s="1" t="n">
        <v>2659</v>
      </c>
      <c r="H411" s="1" t="n">
        <v>-3.58</v>
      </c>
      <c r="I411" s="12" t="n">
        <f aca="false">H411*3.6</f>
        <v>-12.888</v>
      </c>
      <c r="M411" s="3" t="n">
        <f aca="false">M410-0.016/40</f>
        <v>4.01240000000002</v>
      </c>
      <c r="N411" s="12" t="n">
        <f aca="false">E411*(-F411)</f>
        <v>91.6231111111109</v>
      </c>
    </row>
    <row r="412" customFormat="false" ht="12.8" hidden="false" customHeight="false" outlineLevel="0" collapsed="false">
      <c r="A412" s="13" t="n">
        <v>0.734722222222222</v>
      </c>
      <c r="B412" s="2" t="n">
        <v>2.2</v>
      </c>
      <c r="C412" s="2" t="n">
        <v>-27</v>
      </c>
      <c r="D412" s="2" t="n">
        <v>724.111132623427</v>
      </c>
      <c r="E412" s="3" t="n">
        <v>3.76866666666667</v>
      </c>
      <c r="F412" s="2" t="n">
        <v>-24.6666666666667</v>
      </c>
      <c r="G412" s="1" t="n">
        <v>2553</v>
      </c>
      <c r="H412" s="1" t="n">
        <v>-3.6</v>
      </c>
      <c r="I412" s="12" t="n">
        <f aca="false">H412*3.6</f>
        <v>-12.96</v>
      </c>
      <c r="M412" s="3" t="n">
        <f aca="false">M411-0.016/40</f>
        <v>4.01200000000002</v>
      </c>
      <c r="N412" s="12" t="n">
        <f aca="false">E412*(-F412)</f>
        <v>92.9604444444447</v>
      </c>
    </row>
    <row r="413" customFormat="false" ht="12.8" hidden="false" customHeight="false" outlineLevel="0" collapsed="false">
      <c r="A413" s="14" t="n">
        <v>0.735069444444444</v>
      </c>
      <c r="B413" s="2" t="n">
        <v>2.9</v>
      </c>
      <c r="C413" s="2" t="n">
        <v>-26.5833333333333</v>
      </c>
      <c r="D413" s="2" t="n">
        <v>733.464714424008</v>
      </c>
      <c r="E413" s="3" t="n">
        <v>3.77333333333333</v>
      </c>
      <c r="F413" s="2" t="n">
        <v>-24.3333333333333</v>
      </c>
      <c r="G413" s="1" t="n">
        <v>2448</v>
      </c>
      <c r="H413" s="1" t="n">
        <v>-3.73</v>
      </c>
      <c r="I413" s="12" t="n">
        <f aca="false">H413*3.6</f>
        <v>-13.428</v>
      </c>
      <c r="M413" s="3" t="n">
        <f aca="false">M412-0.016/40</f>
        <v>4.01160000000002</v>
      </c>
      <c r="N413" s="12" t="n">
        <f aca="false">E413*(-F413)</f>
        <v>91.8177777777776</v>
      </c>
    </row>
    <row r="414" customFormat="false" ht="12.8" hidden="false" customHeight="false" outlineLevel="0" collapsed="false">
      <c r="A414" s="13" t="n">
        <v>0.735416666666667</v>
      </c>
      <c r="B414" s="2" t="n">
        <v>3.58333333333333</v>
      </c>
      <c r="C414" s="2" t="n">
        <v>-26.1166666666667</v>
      </c>
      <c r="D414" s="2" t="n">
        <v>742.866263310745</v>
      </c>
      <c r="E414" s="3" t="n">
        <v>3.778</v>
      </c>
      <c r="F414" s="2" t="n">
        <v>-25.3333333333333</v>
      </c>
      <c r="G414" s="1" t="n">
        <v>2341</v>
      </c>
      <c r="H414" s="1" t="n">
        <v>-3.76</v>
      </c>
      <c r="I414" s="12" t="n">
        <f aca="false">H414*3.6</f>
        <v>-13.536</v>
      </c>
      <c r="M414" s="3" t="n">
        <f aca="false">M413-0.016/40</f>
        <v>4.01120000000002</v>
      </c>
      <c r="N414" s="12" t="n">
        <f aca="false">E414*(-F414)</f>
        <v>95.7093333333332</v>
      </c>
    </row>
    <row r="415" customFormat="false" ht="12.8" hidden="false" customHeight="false" outlineLevel="0" collapsed="false">
      <c r="A415" s="14" t="n">
        <v>0.735763888888889</v>
      </c>
      <c r="B415" s="2" t="n">
        <v>4.21666666666667</v>
      </c>
      <c r="C415" s="2" t="n">
        <v>-25.6666666666667</v>
      </c>
      <c r="D415" s="2" t="n">
        <v>752.507647628267</v>
      </c>
      <c r="E415" s="3" t="n">
        <v>3.78333333333333</v>
      </c>
      <c r="F415" s="2" t="n">
        <v>-24.8333333333333</v>
      </c>
      <c r="G415" s="1" t="n">
        <v>2226</v>
      </c>
      <c r="H415" s="1" t="n">
        <v>-3.66</v>
      </c>
      <c r="I415" s="12" t="n">
        <f aca="false">H415*3.6</f>
        <v>-13.176</v>
      </c>
      <c r="M415" s="3" t="n">
        <f aca="false">M414-0.016/40</f>
        <v>4.01080000000002</v>
      </c>
      <c r="N415" s="12" t="n">
        <f aca="false">E415*(-F415)</f>
        <v>93.9527777777776</v>
      </c>
    </row>
    <row r="416" customFormat="false" ht="12.8" hidden="false" customHeight="false" outlineLevel="0" collapsed="false">
      <c r="A416" s="13" t="n">
        <v>0.736111111111111</v>
      </c>
      <c r="B416" s="2" t="n">
        <v>4.8</v>
      </c>
      <c r="C416" s="2" t="n">
        <v>-25.2166666666667</v>
      </c>
      <c r="D416" s="2" t="n">
        <v>762.548757663763</v>
      </c>
      <c r="E416" s="3" t="n">
        <v>3.78933333333333</v>
      </c>
      <c r="F416" s="2" t="n">
        <v>-25.1666666666667</v>
      </c>
      <c r="G416" s="1" t="n">
        <v>2116</v>
      </c>
      <c r="H416" s="1" t="n">
        <v>-3.55</v>
      </c>
      <c r="I416" s="12" t="n">
        <f aca="false">H416*3.6</f>
        <v>-12.78</v>
      </c>
      <c r="M416" s="3" t="n">
        <f aca="false">M415-0.016/40</f>
        <v>4.01040000000002</v>
      </c>
      <c r="N416" s="12" t="n">
        <f aca="false">E416*(-F416)</f>
        <v>95.3648888888889</v>
      </c>
    </row>
    <row r="417" customFormat="false" ht="12.8" hidden="false" customHeight="false" outlineLevel="0" collapsed="false">
      <c r="A417" s="14" t="n">
        <v>0.736458333333333</v>
      </c>
      <c r="B417" s="2" t="n">
        <v>5.45</v>
      </c>
      <c r="C417" s="2" t="n">
        <v>-24.7333333333333</v>
      </c>
      <c r="D417" s="2" t="n">
        <v>772.781736043885</v>
      </c>
      <c r="E417" s="3" t="n">
        <v>3.79466666666667</v>
      </c>
      <c r="F417" s="2" t="n">
        <v>-25</v>
      </c>
      <c r="G417" s="1" t="n">
        <v>2016</v>
      </c>
      <c r="H417" s="1" t="n">
        <v>-3.56</v>
      </c>
      <c r="I417" s="12" t="n">
        <f aca="false">H417*3.6</f>
        <v>-12.816</v>
      </c>
      <c r="M417" s="3" t="n">
        <f aca="false">M416-0.016/40</f>
        <v>4.01000000000002</v>
      </c>
      <c r="N417" s="12" t="n">
        <f aca="false">E417*(-F417)</f>
        <v>94.8666666666668</v>
      </c>
    </row>
    <row r="418" customFormat="false" ht="12.8" hidden="false" customHeight="false" outlineLevel="0" collapsed="false">
      <c r="A418" s="13" t="n">
        <v>0.736805555555556</v>
      </c>
      <c r="B418" s="2" t="n">
        <v>6.06666666666667</v>
      </c>
      <c r="C418" s="2" t="n">
        <v>-24.2666666666667</v>
      </c>
      <c r="D418" s="2" t="n">
        <v>782.902791222975</v>
      </c>
      <c r="E418" s="3" t="n">
        <v>3.80133333333333</v>
      </c>
      <c r="F418" s="2" t="n">
        <v>-25.6666666666667</v>
      </c>
      <c r="G418" s="1" t="n">
        <v>1914</v>
      </c>
      <c r="H418" s="1" t="n">
        <v>-3.5</v>
      </c>
      <c r="I418" s="12" t="n">
        <f aca="false">H418*3.6</f>
        <v>-12.6</v>
      </c>
      <c r="M418" s="3" t="n">
        <f aca="false">M417-0.016/40</f>
        <v>4.00960000000002</v>
      </c>
      <c r="N418" s="12" t="n">
        <f aca="false">E418*(-F418)</f>
        <v>97.5675555555556</v>
      </c>
    </row>
    <row r="419" customFormat="false" ht="12.8" hidden="false" customHeight="false" outlineLevel="0" collapsed="false">
      <c r="A419" s="14" t="n">
        <v>0.737152777777778</v>
      </c>
      <c r="B419" s="2" t="n">
        <v>6.71666666666667</v>
      </c>
      <c r="C419" s="2" t="n">
        <v>-23.7833333333333</v>
      </c>
      <c r="D419" s="2" t="n">
        <v>792.911923201033</v>
      </c>
      <c r="E419" s="3" t="n">
        <v>3.806</v>
      </c>
      <c r="F419" s="2" t="n">
        <v>-25.1666666666667</v>
      </c>
      <c r="G419" s="1" t="n">
        <v>1814</v>
      </c>
      <c r="H419" s="1" t="n">
        <v>-3.34</v>
      </c>
      <c r="I419" s="12" t="n">
        <f aca="false">H419*3.6</f>
        <v>-12.024</v>
      </c>
      <c r="M419" s="3" t="n">
        <f aca="false">M418-0.016/40</f>
        <v>4.00920000000002</v>
      </c>
      <c r="N419" s="12" t="n">
        <f aca="false">E419*(-F419)</f>
        <v>95.7843333333335</v>
      </c>
    </row>
    <row r="420" customFormat="false" ht="12.8" hidden="false" customHeight="false" outlineLevel="0" collapsed="false">
      <c r="A420" s="13" t="n">
        <v>0.7375</v>
      </c>
      <c r="B420" s="2" t="n">
        <v>7.4</v>
      </c>
      <c r="C420" s="2" t="n">
        <v>-23.3</v>
      </c>
      <c r="D420" s="2" t="n">
        <v>802.825121006776</v>
      </c>
      <c r="E420" s="3" t="n">
        <v>3.81266666666667</v>
      </c>
      <c r="F420" s="2" t="n">
        <v>-25.1666666666667</v>
      </c>
      <c r="G420" s="1" t="n">
        <v>1722</v>
      </c>
      <c r="H420" s="1" t="n">
        <v>-3.16</v>
      </c>
      <c r="I420" s="12" t="n">
        <f aca="false">H420*3.6</f>
        <v>-11.376</v>
      </c>
      <c r="M420" s="3" t="n">
        <f aca="false">M419-0.016/40</f>
        <v>4.00880000000002</v>
      </c>
      <c r="N420" s="12" t="n">
        <f aca="false">E420*(-F420)</f>
        <v>95.9521111111113</v>
      </c>
    </row>
    <row r="421" customFormat="false" ht="12.8" hidden="false" customHeight="false" outlineLevel="0" collapsed="false">
      <c r="A421" s="14" t="n">
        <v>0.737847222222222</v>
      </c>
      <c r="B421" s="2" t="n">
        <v>8.05</v>
      </c>
      <c r="C421" s="2" t="n">
        <v>-22.8166666666667</v>
      </c>
      <c r="D421" s="2" t="n">
        <v>812.834252984834</v>
      </c>
      <c r="E421" s="3" t="n">
        <v>3.81733333333333</v>
      </c>
      <c r="F421" s="2" t="n">
        <v>-25.5</v>
      </c>
      <c r="G421" s="1" t="n">
        <v>1635</v>
      </c>
      <c r="H421" s="1" t="n">
        <v>-2.95</v>
      </c>
      <c r="I421" s="12" t="n">
        <f aca="false">H421*3.6</f>
        <v>-10.62</v>
      </c>
      <c r="M421" s="3" t="n">
        <f aca="false">M420-0.016/40</f>
        <v>4.00840000000002</v>
      </c>
      <c r="N421" s="12" t="n">
        <f aca="false">E421*(-F421)</f>
        <v>97.3419999999999</v>
      </c>
    </row>
    <row r="422" customFormat="false" ht="12.8" hidden="false" customHeight="false" outlineLevel="0" collapsed="false">
      <c r="A422" s="13" t="n">
        <v>0.738194444444445</v>
      </c>
      <c r="B422" s="2" t="n">
        <v>8.65</v>
      </c>
      <c r="C422" s="2" t="n">
        <v>-22.3166666666667</v>
      </c>
      <c r="D422" s="2" t="n">
        <v>822.491626331075</v>
      </c>
      <c r="E422" s="3" t="n">
        <v>3.82266666666667</v>
      </c>
      <c r="F422" s="2" t="n">
        <v>-25.3333333333333</v>
      </c>
      <c r="G422" s="1" t="n">
        <v>1549</v>
      </c>
      <c r="H422" s="1" t="n">
        <v>-2.85</v>
      </c>
      <c r="I422" s="12" t="n">
        <f aca="false">H422*3.6</f>
        <v>-10.26</v>
      </c>
      <c r="M422" s="3" t="n">
        <f aca="false">M421-0.016/40</f>
        <v>4.00800000000002</v>
      </c>
      <c r="N422" s="12" t="n">
        <f aca="false">E422*(-F422)</f>
        <v>96.8408888888889</v>
      </c>
    </row>
    <row r="423" customFormat="false" ht="12.8" hidden="false" customHeight="false" outlineLevel="0" collapsed="false">
      <c r="A423" s="14" t="n">
        <v>0.738541666666667</v>
      </c>
      <c r="B423" s="2" t="n">
        <v>9.13333333333333</v>
      </c>
      <c r="C423" s="2" t="n">
        <v>-21.8166666666667</v>
      </c>
      <c r="D423" s="2" t="n">
        <v>831.62136172959</v>
      </c>
      <c r="E423" s="3" t="n">
        <v>3.82866666666667</v>
      </c>
      <c r="F423" s="2" t="n">
        <v>-25.1666666666667</v>
      </c>
      <c r="G423" s="1" t="n">
        <v>1461</v>
      </c>
      <c r="H423" s="1" t="n">
        <v>-2.99</v>
      </c>
      <c r="I423" s="12" t="n">
        <f aca="false">H423*3.6</f>
        <v>-10.764</v>
      </c>
      <c r="M423" s="3" t="n">
        <f aca="false">M422-0.016/40</f>
        <v>4.00760000000002</v>
      </c>
      <c r="N423" s="12" t="n">
        <f aca="false">E423*(-F423)</f>
        <v>96.354777777778</v>
      </c>
    </row>
    <row r="424" customFormat="false" ht="12.8" hidden="false" customHeight="false" outlineLevel="0" collapsed="false">
      <c r="A424" s="13" t="n">
        <v>0.738888888888889</v>
      </c>
      <c r="B424" s="2" t="n">
        <v>9.6</v>
      </c>
      <c r="C424" s="2" t="n">
        <v>-21.3166666666667</v>
      </c>
      <c r="D424" s="2" t="n">
        <v>840.271426266538</v>
      </c>
      <c r="E424" s="3" t="n">
        <v>3.834</v>
      </c>
      <c r="F424" s="2" t="n">
        <v>-24.5</v>
      </c>
      <c r="G424" s="1" t="n">
        <v>1374</v>
      </c>
      <c r="H424" s="1" t="n">
        <v>-3.1</v>
      </c>
      <c r="I424" s="12" t="n">
        <f aca="false">H424*3.6</f>
        <v>-11.16</v>
      </c>
      <c r="M424" s="3" t="n">
        <f aca="false">M423-0.016/40</f>
        <v>4.00720000000002</v>
      </c>
      <c r="N424" s="12" t="n">
        <f aca="false">E424*(-F424)</f>
        <v>93.933</v>
      </c>
    </row>
    <row r="425" customFormat="false" ht="12.8" hidden="false" customHeight="false" outlineLevel="0" collapsed="false">
      <c r="A425" s="14" t="n">
        <v>0.739236111111111</v>
      </c>
      <c r="B425" s="2" t="n">
        <v>9.98333333333333</v>
      </c>
      <c r="C425" s="2" t="n">
        <v>-20.8166666666667</v>
      </c>
      <c r="D425" s="2" t="n">
        <v>848.761600516296</v>
      </c>
      <c r="E425" s="3" t="n">
        <v>3.84</v>
      </c>
      <c r="F425" s="2" t="n">
        <v>-25.8333333333333</v>
      </c>
      <c r="G425" s="1" t="n">
        <v>1279</v>
      </c>
      <c r="H425" s="1" t="n">
        <v>-3.29</v>
      </c>
      <c r="I425" s="12" t="n">
        <f aca="false">H425*3.6</f>
        <v>-11.844</v>
      </c>
      <c r="M425" s="3" t="n">
        <f aca="false">M424-0.016/40</f>
        <v>4.00680000000002</v>
      </c>
      <c r="N425" s="12" t="n">
        <f aca="false">E425*(-F425)</f>
        <v>99.1999999999999</v>
      </c>
    </row>
    <row r="426" customFormat="false" ht="12.8" hidden="false" customHeight="false" outlineLevel="0" collapsed="false">
      <c r="A426" s="13" t="n">
        <v>0.739583333333333</v>
      </c>
      <c r="B426" s="2" t="n">
        <v>10.1333333333333</v>
      </c>
      <c r="C426" s="2" t="n">
        <v>-20.3</v>
      </c>
      <c r="D426" s="2" t="n">
        <v>857.395676024524</v>
      </c>
      <c r="E426" s="3" t="n">
        <v>3.84533333333333</v>
      </c>
      <c r="F426" s="2" t="n">
        <v>-25.1666666666667</v>
      </c>
      <c r="G426" s="1" t="n">
        <v>1184</v>
      </c>
      <c r="H426" s="1" t="n">
        <v>-3.44</v>
      </c>
      <c r="I426" s="12" t="n">
        <f aca="false">H426*3.6</f>
        <v>-12.384</v>
      </c>
      <c r="M426" s="3" t="n">
        <f aca="false">M425-0.016/40</f>
        <v>4.00640000000002</v>
      </c>
      <c r="N426" s="12" t="n">
        <f aca="false">E426*(-F426)</f>
        <v>96.7742222222223</v>
      </c>
    </row>
    <row r="427" customFormat="false" ht="12.8" hidden="false" customHeight="false" outlineLevel="0" collapsed="false">
      <c r="A427" s="14" t="n">
        <v>0.739930555555556</v>
      </c>
      <c r="B427" s="2" t="n">
        <v>10.3166666666667</v>
      </c>
      <c r="C427" s="2" t="n">
        <v>-19.8</v>
      </c>
      <c r="D427" s="2" t="n">
        <v>866.637334624072</v>
      </c>
      <c r="E427" s="3" t="n">
        <v>3.85066666666667</v>
      </c>
      <c r="F427" s="2" t="n">
        <v>-25.6666666666667</v>
      </c>
      <c r="G427" s="1" t="n">
        <v>1077</v>
      </c>
      <c r="H427" s="1" t="n">
        <v>-3.47</v>
      </c>
      <c r="I427" s="12" t="n">
        <f aca="false">H427*3.6</f>
        <v>-12.492</v>
      </c>
      <c r="M427" s="3" t="n">
        <f aca="false">M426-0.016/40</f>
        <v>4.00600000000002</v>
      </c>
      <c r="N427" s="12" t="n">
        <f aca="false">E427*(-F427)</f>
        <v>98.833777777778</v>
      </c>
    </row>
    <row r="428" customFormat="false" ht="12.8" hidden="false" customHeight="false" outlineLevel="0" collapsed="false">
      <c r="A428" s="13" t="n">
        <v>0.740277777777778</v>
      </c>
      <c r="B428" s="2" t="n">
        <v>10.5833333333333</v>
      </c>
      <c r="C428" s="2" t="n">
        <v>-19.2666666666667</v>
      </c>
      <c r="D428" s="2" t="n">
        <v>876.630477573411</v>
      </c>
      <c r="E428" s="3" t="n">
        <v>3.856</v>
      </c>
      <c r="F428" s="2" t="n">
        <v>-24.6666666666667</v>
      </c>
      <c r="G428" s="1" t="n">
        <v>972</v>
      </c>
      <c r="H428" s="1" t="n">
        <v>-3.44</v>
      </c>
      <c r="I428" s="12" t="n">
        <f aca="false">H428*3.6</f>
        <v>-12.384</v>
      </c>
      <c r="M428" s="3" t="n">
        <f aca="false">M427-0.016/40</f>
        <v>4.00560000000002</v>
      </c>
      <c r="N428" s="12" t="n">
        <f aca="false">E428*(-F428)</f>
        <v>95.1146666666668</v>
      </c>
    </row>
    <row r="429" customFormat="false" ht="12.8" hidden="false" customHeight="false" outlineLevel="0" collapsed="false">
      <c r="A429" s="14" t="n">
        <v>0.740625</v>
      </c>
      <c r="B429" s="2" t="n">
        <v>10.9833333333333</v>
      </c>
      <c r="C429" s="2" t="n">
        <v>-18.7666666666667</v>
      </c>
      <c r="D429" s="2" t="n">
        <v>887.007357212004</v>
      </c>
      <c r="E429" s="3" t="n">
        <v>3.86133333333333</v>
      </c>
      <c r="F429" s="2" t="n">
        <v>-25.1666666666667</v>
      </c>
      <c r="G429" s="1" t="n">
        <v>874</v>
      </c>
      <c r="H429" s="1" t="n">
        <v>-3.42</v>
      </c>
      <c r="I429" s="12" t="n">
        <f aca="false">H429*3.6</f>
        <v>-12.312</v>
      </c>
      <c r="M429" s="3" t="n">
        <f aca="false">M428-0.016/40</f>
        <v>4.00520000000002</v>
      </c>
      <c r="N429" s="12" t="n">
        <f aca="false">E429*(-F429)</f>
        <v>97.1768888888889</v>
      </c>
    </row>
    <row r="430" customFormat="false" ht="12.8" hidden="false" customHeight="false" outlineLevel="0" collapsed="false">
      <c r="A430" s="13" t="n">
        <v>0.740972222222222</v>
      </c>
      <c r="B430" s="2" t="n">
        <v>11.45</v>
      </c>
      <c r="C430" s="2" t="n">
        <v>-18.25</v>
      </c>
      <c r="D430" s="2" t="n">
        <v>897.847918683446</v>
      </c>
      <c r="E430" s="3" t="n">
        <v>3.86533333333333</v>
      </c>
      <c r="F430" s="2" t="n">
        <v>-24.8333333333333</v>
      </c>
      <c r="G430" s="1" t="n">
        <v>775</v>
      </c>
      <c r="H430" s="1" t="n">
        <v>-3.49</v>
      </c>
      <c r="I430" s="12" t="n">
        <f aca="false">H430*3.6</f>
        <v>-12.564</v>
      </c>
      <c r="M430" s="3" t="n">
        <f aca="false">M429-0.016/40</f>
        <v>4.00480000000002</v>
      </c>
      <c r="N430" s="12" t="n">
        <f aca="false">E430*(-F430)</f>
        <v>95.9891111111109</v>
      </c>
    </row>
    <row r="431" customFormat="false" ht="12.8" hidden="false" customHeight="false" outlineLevel="0" collapsed="false">
      <c r="A431" s="14" t="n">
        <v>0.741319444444444</v>
      </c>
      <c r="B431" s="2" t="n">
        <v>11.9666666666667</v>
      </c>
      <c r="C431" s="2" t="n">
        <v>-17.75</v>
      </c>
      <c r="D431" s="2" t="n">
        <v>908.608535011294</v>
      </c>
      <c r="E431" s="3" t="n">
        <v>3.86933333333333</v>
      </c>
      <c r="F431" s="2" t="n">
        <v>-24.6666666666667</v>
      </c>
      <c r="G431" s="1" t="n">
        <v>668</v>
      </c>
      <c r="H431" s="1" t="n">
        <v>-3.59</v>
      </c>
      <c r="I431" s="12" t="n">
        <f aca="false">H431*3.6</f>
        <v>-12.924</v>
      </c>
      <c r="M431" s="3" t="n">
        <f aca="false">M430-0.016/40</f>
        <v>4.00440000000002</v>
      </c>
      <c r="N431" s="12" t="n">
        <f aca="false">E431*(-F431)</f>
        <v>95.4435555555556</v>
      </c>
    </row>
    <row r="432" customFormat="false" ht="12.8" hidden="false" customHeight="false" outlineLevel="0" collapsed="false">
      <c r="A432" s="13" t="n">
        <v>0.741666666666667</v>
      </c>
      <c r="B432" s="2" t="n">
        <v>12.5333333333333</v>
      </c>
      <c r="C432" s="2" t="n">
        <v>-17.25</v>
      </c>
      <c r="D432" s="2" t="n">
        <v>919.513052597612</v>
      </c>
      <c r="E432" s="3" t="n">
        <v>3.874</v>
      </c>
      <c r="F432" s="2" t="n">
        <v>-24.3333333333333</v>
      </c>
      <c r="G432" s="1" t="n">
        <v>570</v>
      </c>
      <c r="H432" s="1" t="n">
        <v>-3.48</v>
      </c>
      <c r="I432" s="12" t="n">
        <f aca="false">H432*3.6</f>
        <v>-12.528</v>
      </c>
      <c r="M432" s="3" t="n">
        <f aca="false">M431-0.016/40</f>
        <v>4.00400000000002</v>
      </c>
      <c r="N432" s="12" t="n">
        <f aca="false">E432*(-F432)</f>
        <v>94.2673333333332</v>
      </c>
    </row>
    <row r="433" customFormat="false" ht="12.8" hidden="false" customHeight="false" outlineLevel="0" collapsed="false">
      <c r="A433" s="14" t="n">
        <v>0.742013888888889</v>
      </c>
      <c r="B433" s="2" t="n">
        <v>13.1</v>
      </c>
      <c r="C433" s="2" t="n">
        <v>-16.7333333333333</v>
      </c>
      <c r="D433" s="2" t="n">
        <v>930.593449499839</v>
      </c>
      <c r="E433" s="3" t="n">
        <v>3.87933333333333</v>
      </c>
      <c r="F433" s="2" t="n">
        <v>-24.5</v>
      </c>
      <c r="G433" s="1" t="n">
        <v>473</v>
      </c>
      <c r="H433" s="1" t="n">
        <v>-3.27</v>
      </c>
      <c r="I433" s="12" t="n">
        <f aca="false">H433*3.6</f>
        <v>-11.772</v>
      </c>
      <c r="M433" s="3" t="n">
        <f aca="false">M432-0.016/40</f>
        <v>4.00360000000002</v>
      </c>
      <c r="N433" s="12" t="n">
        <f aca="false">E433*(-F433)</f>
        <v>95.0436666666666</v>
      </c>
    </row>
    <row r="434" customFormat="false" ht="12.8" hidden="false" customHeight="false" outlineLevel="0" collapsed="false">
      <c r="A434" s="13" t="n">
        <v>0.742361111111111</v>
      </c>
      <c r="B434" s="2" t="n">
        <v>13.65</v>
      </c>
      <c r="C434" s="2" t="n">
        <v>-16.2166666666667</v>
      </c>
      <c r="D434" s="2" t="n">
        <v>942.185495321071</v>
      </c>
      <c r="E434" s="3" t="n">
        <v>3.884</v>
      </c>
      <c r="F434" s="2" t="n">
        <v>-25</v>
      </c>
      <c r="G434" s="1" t="n">
        <v>370</v>
      </c>
      <c r="H434" s="1" t="n">
        <v>-3.27</v>
      </c>
      <c r="I434" s="12" t="n">
        <f aca="false">H434*3.6</f>
        <v>-11.772</v>
      </c>
      <c r="M434" s="3" t="n">
        <f aca="false">M433-0.016/40</f>
        <v>4.00320000000002</v>
      </c>
      <c r="N434" s="12" t="n">
        <f aca="false">E434*(-F434)</f>
        <v>97.1</v>
      </c>
    </row>
    <row r="435" customFormat="false" ht="12.8" hidden="false" customHeight="false" outlineLevel="0" collapsed="false">
      <c r="A435" s="14" t="n">
        <v>0.742708333333333</v>
      </c>
      <c r="B435" s="2" t="n">
        <v>14.2666666666667</v>
      </c>
      <c r="C435" s="2" t="n">
        <v>-15.6833333333333</v>
      </c>
      <c r="D435" s="2" t="n">
        <v>953.521716682801</v>
      </c>
      <c r="E435" s="3" t="n">
        <v>3.88733333333333</v>
      </c>
      <c r="F435" s="2" t="n">
        <v>-24.6666666666667</v>
      </c>
      <c r="G435" s="1" t="n">
        <v>270</v>
      </c>
      <c r="H435" s="1" t="n">
        <v>-3.08</v>
      </c>
      <c r="I435" s="12" t="n">
        <f aca="false">H435*3.6</f>
        <v>-11.088</v>
      </c>
      <c r="M435" s="3" t="n">
        <f aca="false">M434-0.016/40</f>
        <v>4.00280000000002</v>
      </c>
      <c r="N435" s="12" t="n">
        <f aca="false">E435*(-F435)</f>
        <v>95.8875555555556</v>
      </c>
    </row>
    <row r="436" customFormat="false" ht="12.8" hidden="false" customHeight="false" outlineLevel="0" collapsed="false">
      <c r="A436" s="13" t="n">
        <v>0.743055555555556</v>
      </c>
      <c r="B436" s="2" t="n">
        <v>14.95</v>
      </c>
      <c r="C436" s="2" t="n">
        <v>-15.1666666666667</v>
      </c>
      <c r="D436" s="2" t="n">
        <v>964.522168441433</v>
      </c>
      <c r="E436" s="3" t="n">
        <v>3.892</v>
      </c>
      <c r="F436" s="2" t="n">
        <v>-24.6666666666667</v>
      </c>
      <c r="G436" s="1" t="n">
        <v>183</v>
      </c>
      <c r="H436" s="1" t="n">
        <v>-3.07</v>
      </c>
      <c r="I436" s="12" t="n">
        <f aca="false">H436*3.6</f>
        <v>-11.052</v>
      </c>
      <c r="M436" s="3" t="n">
        <f aca="false">M435-0.016/40</f>
        <v>4.00240000000002</v>
      </c>
      <c r="N436" s="12" t="n">
        <f aca="false">E436*(-F436)</f>
        <v>96.0026666666668</v>
      </c>
    </row>
    <row r="437" customFormat="false" ht="12.8" hidden="false" customHeight="false" outlineLevel="0" collapsed="false">
      <c r="A437" s="14" t="n">
        <v>0.743402777777778</v>
      </c>
      <c r="B437" s="2" t="n">
        <v>15.7333333333333</v>
      </c>
      <c r="C437" s="2" t="n">
        <v>-14.65</v>
      </c>
      <c r="D437" s="2" t="n">
        <v>975.330751855437</v>
      </c>
      <c r="E437" s="3" t="n">
        <v>3.89533333333333</v>
      </c>
      <c r="F437" s="2" t="n">
        <v>-24.5</v>
      </c>
      <c r="G437" s="1" t="n">
        <v>94.8</v>
      </c>
      <c r="H437" s="1" t="n">
        <v>-3.2</v>
      </c>
      <c r="I437" s="12" t="n">
        <f aca="false">H437*3.6</f>
        <v>-11.52</v>
      </c>
      <c r="M437" s="3" t="n">
        <f aca="false">M436-0.016/40</f>
        <v>4.00200000000002</v>
      </c>
      <c r="N437" s="12" t="n">
        <f aca="false">E437*(-F437)</f>
        <v>95.4356666666666</v>
      </c>
    </row>
    <row r="438" customFormat="false" ht="12.8" hidden="false" customHeight="false" outlineLevel="0" collapsed="false">
      <c r="A438" s="13" t="n">
        <v>0.74375</v>
      </c>
      <c r="B438" s="2" t="n">
        <v>16.55</v>
      </c>
      <c r="C438" s="2" t="n">
        <v>-14.15</v>
      </c>
      <c r="D438" s="2" t="n">
        <v>986.203291384318</v>
      </c>
      <c r="E438" s="3" t="n">
        <v>3.9</v>
      </c>
      <c r="F438" s="2" t="n">
        <v>-23.3333333333333</v>
      </c>
      <c r="G438" s="1" t="n">
        <v>30.3</v>
      </c>
      <c r="H438" s="15" t="n">
        <v>0</v>
      </c>
      <c r="I438" s="12" t="n">
        <f aca="false">H438*3.6</f>
        <v>0</v>
      </c>
      <c r="M438" s="3" t="n">
        <f aca="false">M437-0.016/40</f>
        <v>4.00160000000002</v>
      </c>
      <c r="N438" s="12" t="n">
        <f aca="false">E438*(-F438)</f>
        <v>90.9999999999999</v>
      </c>
    </row>
    <row r="439" customFormat="false" ht="12.8" hidden="false" customHeight="false" outlineLevel="0" collapsed="false">
      <c r="A439" s="14" t="n">
        <v>0.744097222222222</v>
      </c>
      <c r="B439" s="2" t="n">
        <v>17.2</v>
      </c>
      <c r="C439" s="2" t="n">
        <v>-13.6</v>
      </c>
      <c r="D439" s="2" t="n">
        <v>996.484236850597</v>
      </c>
      <c r="E439" s="3" t="n">
        <v>3.90266666666667</v>
      </c>
      <c r="F439" s="2" t="n">
        <v>-25.1666666666667</v>
      </c>
      <c r="G439" s="1" t="n">
        <v>25</v>
      </c>
      <c r="H439" s="15" t="n">
        <v>0</v>
      </c>
      <c r="I439" s="12" t="n">
        <f aca="false">H439*3.6</f>
        <v>0</v>
      </c>
      <c r="M439" s="3" t="n">
        <f aca="false">M438-0.016/40</f>
        <v>4.00120000000002</v>
      </c>
      <c r="N439" s="12" t="n">
        <f aca="false">E439*(-F439)</f>
        <v>98.2171111111113</v>
      </c>
    </row>
    <row r="440" customFormat="false" ht="12.8" hidden="false" customHeight="false" outlineLevel="0" collapsed="false">
      <c r="A440" s="13" t="n">
        <v>0.744444444444445</v>
      </c>
      <c r="B440" s="2" t="n">
        <v>17.85</v>
      </c>
      <c r="C440" s="2" t="n">
        <v>-13.0666666666667</v>
      </c>
      <c r="D440" s="2" t="n">
        <v>1007.05298483382</v>
      </c>
      <c r="E440" s="3" t="n">
        <v>3.908</v>
      </c>
      <c r="F440" s="2" t="n">
        <v>-25.1666666666667</v>
      </c>
      <c r="G440" s="1" t="n">
        <v>24.3</v>
      </c>
      <c r="H440" s="15" t="n">
        <v>0</v>
      </c>
      <c r="I440" s="12" t="n">
        <f aca="false">H440*3.6</f>
        <v>0</v>
      </c>
      <c r="M440" s="3" t="n">
        <f aca="false">M439-0.016/40</f>
        <v>4.00080000000002</v>
      </c>
      <c r="N440" s="12" t="n">
        <f aca="false">E440*(-F440)</f>
        <v>98.3513333333335</v>
      </c>
    </row>
    <row r="441" customFormat="false" ht="12.8" hidden="false" customHeight="false" outlineLevel="0" collapsed="false">
      <c r="A441" s="14" t="n">
        <v>0.744791666666667</v>
      </c>
      <c r="B441" s="2" t="n">
        <v>18</v>
      </c>
      <c r="C441" s="2" t="n">
        <v>-12.55</v>
      </c>
      <c r="D441" s="2" t="n">
        <v>1012.48925459826</v>
      </c>
      <c r="E441" s="3" t="n">
        <v>3.91066666666667</v>
      </c>
      <c r="F441" s="2" t="n">
        <v>-25</v>
      </c>
      <c r="G441" s="1" t="n">
        <v>24</v>
      </c>
      <c r="H441" s="15" t="n">
        <v>0</v>
      </c>
      <c r="I441" s="12" t="n">
        <f aca="false">H441*3.6</f>
        <v>0</v>
      </c>
      <c r="M441" s="3" t="n">
        <f aca="false">M440-0.016/40</f>
        <v>4.00040000000002</v>
      </c>
      <c r="N441" s="12" t="n">
        <f aca="false">E441*(-F441)</f>
        <v>97.7666666666668</v>
      </c>
    </row>
    <row r="442" customFormat="false" ht="12.8" hidden="false" customHeight="false" outlineLevel="0" collapsed="false">
      <c r="A442" s="13" t="n">
        <v>0.745138888888889</v>
      </c>
      <c r="B442" s="2" t="n">
        <v>17.3</v>
      </c>
      <c r="C442" s="2" t="n">
        <v>-12.0166666666667</v>
      </c>
      <c r="D442" s="2" t="n">
        <v>1012.55321071313</v>
      </c>
      <c r="E442" s="3" t="n">
        <v>3.91466666666667</v>
      </c>
      <c r="F442" s="2" t="n">
        <v>-24.5</v>
      </c>
      <c r="G442" s="1" t="n">
        <v>24</v>
      </c>
      <c r="H442" s="15" t="n">
        <v>0</v>
      </c>
      <c r="I442" s="12" t="n">
        <f aca="false">H442*3.6</f>
        <v>0</v>
      </c>
      <c r="M442" s="3" t="n">
        <f aca="false">M441-0.016/40</f>
        <v>4.00000000000002</v>
      </c>
      <c r="N442" s="12" t="n">
        <f aca="false">E442*(-F442)</f>
        <v>95.9093333333334</v>
      </c>
      <c r="O442" s="1" t="s">
        <v>14</v>
      </c>
    </row>
    <row r="443" customFormat="false" ht="12.8" hidden="false" customHeight="false" outlineLevel="0" collapsed="false">
      <c r="A443" s="14" t="n">
        <v>0.745486111111111</v>
      </c>
      <c r="B443" s="2" t="n">
        <v>16.9333333333333</v>
      </c>
      <c r="C443" s="2" t="n">
        <v>-11.4833333333333</v>
      </c>
      <c r="D443" s="2" t="n">
        <v>1012.58518877057</v>
      </c>
      <c r="E443" s="3" t="n">
        <v>3.91733333333333</v>
      </c>
      <c r="F443" s="2" t="n">
        <v>-24.8333333333333</v>
      </c>
      <c r="G443" s="1" t="n">
        <v>24</v>
      </c>
      <c r="H443" s="15" t="n">
        <v>0</v>
      </c>
      <c r="I443" s="12" t="n">
        <f aca="false">H443*3.6</f>
        <v>0</v>
      </c>
      <c r="M443" s="3" t="n">
        <f aca="false">M442-0.016/40</f>
        <v>3.99960000000002</v>
      </c>
      <c r="N443" s="12" t="n">
        <f aca="false">E443*(-F443)</f>
        <v>97.2804444444442</v>
      </c>
      <c r="O443" s="16" t="n">
        <f aca="false">AVERAGE(N2:N443)/1000*3.675</f>
        <v>0.349093602677225</v>
      </c>
    </row>
    <row r="444" customFormat="false" ht="12.8" hidden="false" customHeight="false" outlineLevel="0" collapsed="false">
      <c r="O444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41" activeCellId="0" sqref="H4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0" activeCellId="0" sqref="C40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507638888888889" right="0.451388888888889" top="0.445138888888889" bottom="0.477083333333333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41" activeCellId="0" sqref="F4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459027777777778" right="0.484027777777778" top="0.4125" bottom="0.46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4" activeCellId="0" sqref="D44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297222222222222" right="0.3625" top="0.377777777777778" bottom="0.378472222222222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24" activeCellId="0" sqref="L24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297222222222222" right="0.3625" top="0.377777777777778" bottom="0.378472222222222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43" activeCellId="0" sqref="J43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400694444444444" right="0.389583333333333" top="0.446527777777778" bottom="0.458333333333333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285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fr-BE</dc:language>
  <cp:lastModifiedBy/>
  <cp:lastPrinted>2026-10-13T12:15:25Z</cp:lastPrinted>
  <dcterms:modified xsi:type="dcterms:W3CDTF">2026-10-13T14:27:44Z</dcterms:modified>
  <cp:revision>34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